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ubenkappely/Documents/Projects/Parallel-Monte-Carlo-Tree-Search-For-The-Orienteering-Problem/results_gen/outputs/"/>
    </mc:Choice>
  </mc:AlternateContent>
  <xr:revisionPtr revIDLastSave="0" documentId="13_ncr:1_{428D37E0-9E8C-1C4A-AA9C-2E0B5160DF68}" xr6:coauthVersionLast="47" xr6:coauthVersionMax="47" xr10:uidLastSave="{00000000-0000-0000-0000-000000000000}"/>
  <bookViews>
    <workbookView xWindow="0" yWindow="760" windowWidth="34200" windowHeight="21380" activeTab="3" xr2:uid="{260B2045-1352-43BA-9B1E-29C2A8BE3BD5}"/>
  </bookViews>
  <sheets>
    <sheet name="Test1" sheetId="1" r:id="rId1"/>
    <sheet name="Test2" sheetId="2" r:id="rId2"/>
    <sheet name="Test3" sheetId="3" r:id="rId3"/>
    <sheet name="Tes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4" l="1"/>
  <c r="C32" i="4"/>
  <c r="C31" i="4"/>
  <c r="C30" i="4"/>
  <c r="C29" i="4"/>
  <c r="D70" i="1"/>
  <c r="D69" i="1"/>
  <c r="D68" i="1"/>
  <c r="D67" i="1"/>
  <c r="D66" i="1"/>
  <c r="D65" i="1"/>
  <c r="D64" i="1"/>
  <c r="D63" i="1"/>
  <c r="D62" i="1"/>
  <c r="D61" i="1"/>
  <c r="A60" i="1"/>
</calcChain>
</file>

<file path=xl/sharedStrings.xml><?xml version="1.0" encoding="utf-8"?>
<sst xmlns="http://schemas.openxmlformats.org/spreadsheetml/2006/main" count="323" uniqueCount="41">
  <si>
    <t>raw_reward</t>
  </si>
  <si>
    <t>mean</t>
  </si>
  <si>
    <t>std</t>
  </si>
  <si>
    <t>min</t>
  </si>
  <si>
    <t>max</t>
  </si>
  <si>
    <t>problem</t>
  </si>
  <si>
    <t>algorithm</t>
  </si>
  <si>
    <t>Test 2</t>
  </si>
  <si>
    <t>OR-Tools</t>
  </si>
  <si>
    <t>Tree</t>
  </si>
  <si>
    <t>UCT</t>
  </si>
  <si>
    <t>VL</t>
  </si>
  <si>
    <t>WU-UCT</t>
  </si>
  <si>
    <t>grid_clustered_b30.txt</t>
  </si>
  <si>
    <t>grid_corners_b40.txt</t>
  </si>
  <si>
    <t>grid_corners_b30.txt</t>
  </si>
  <si>
    <t>WU little better</t>
  </si>
  <si>
    <t>grid_edges_b30.txt</t>
  </si>
  <si>
    <t>grid_edges_b40.txt</t>
  </si>
  <si>
    <t>OR did better on average, but vl an wu max beat it</t>
  </si>
  <si>
    <t>grid_quadrants_b30.txt</t>
  </si>
  <si>
    <t>grid_quadrants_b40.txt</t>
  </si>
  <si>
    <t>OR did far better on the quadrants problems, WU really struggled here -area for further study as to why</t>
  </si>
  <si>
    <t>sample_random/grid_10x10_b30.txt</t>
  </si>
  <si>
    <t>grid_clustered_b40.txt</t>
  </si>
  <si>
    <t>OR wins with the larger budget</t>
  </si>
  <si>
    <t>Shows that with smaller number of workers tree is doing better then Wu probel due to the diveed of E and S workers</t>
  </si>
  <si>
    <t>tree does better again with less workers</t>
  </si>
  <si>
    <t>sample_random/grid_10x10_b40.txt</t>
  </si>
  <si>
    <t>Test 1</t>
  </si>
  <si>
    <t>Test 3</t>
  </si>
  <si>
    <t>Test 4</t>
  </si>
  <si>
    <t>close between WU and tree</t>
  </si>
  <si>
    <t>xlarge_40x40_r0_84.txt</t>
  </si>
  <si>
    <t>xlarge_45x45_r0_93.txt</t>
  </si>
  <si>
    <t>xlarge_45x45_r0_98.txt</t>
  </si>
  <si>
    <t>xlarge_50x50_r0_104.txt</t>
  </si>
  <si>
    <t>elapsed_time</t>
  </si>
  <si>
    <t>budget_used_pct</t>
  </si>
  <si>
    <t>total_collisions</t>
  </si>
  <si>
    <t>avg_collision_rate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</si>
</sst>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b/>
      <sz val="11"/>
      <color rgb="FFFFC000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top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1" fillId="6" borderId="0" xfId="0" applyFont="1" applyFill="1"/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7" borderId="0" xfId="0" applyFill="1"/>
    <xf numFmtId="0" fontId="0" fillId="6" borderId="0" xfId="0" applyFill="1"/>
    <xf numFmtId="0" fontId="2" fillId="7" borderId="0" xfId="0" applyFont="1" applyFill="1"/>
    <xf numFmtId="0" fontId="0" fillId="8" borderId="0" xfId="0" applyFill="1"/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5FE3-E712-4367-9B42-B5E3B258A2F1}">
  <dimension ref="A1:V70"/>
  <sheetViews>
    <sheetView zoomScale="125" workbookViewId="0">
      <selection activeCell="A21" sqref="A21:A25"/>
    </sheetView>
  </sheetViews>
  <sheetFormatPr baseColWidth="10" defaultColWidth="8.83203125" defaultRowHeight="15" x14ac:dyDescent="0.2"/>
  <cols>
    <col min="1" max="1" width="41.5" customWidth="1"/>
  </cols>
  <sheetData>
    <row r="1" spans="1:22" x14ac:dyDescent="0.2">
      <c r="A1" t="s">
        <v>29</v>
      </c>
    </row>
    <row r="3" spans="1:22" x14ac:dyDescent="0.2">
      <c r="B3" s="1"/>
      <c r="C3" s="18" t="s">
        <v>0</v>
      </c>
      <c r="D3" s="18"/>
      <c r="E3" s="18"/>
      <c r="F3" s="18"/>
      <c r="G3" s="18" t="s">
        <v>37</v>
      </c>
      <c r="H3" s="18"/>
      <c r="I3" s="18"/>
      <c r="J3" s="18"/>
      <c r="K3" s="18" t="s">
        <v>38</v>
      </c>
      <c r="L3" s="18"/>
      <c r="M3" s="18"/>
      <c r="N3" s="18"/>
      <c r="O3" s="18" t="s">
        <v>39</v>
      </c>
      <c r="P3" s="18"/>
      <c r="Q3" s="18"/>
      <c r="R3" s="18"/>
      <c r="S3" s="18" t="s">
        <v>40</v>
      </c>
      <c r="T3" s="18"/>
      <c r="U3" s="18"/>
      <c r="V3" s="18"/>
    </row>
    <row r="4" spans="1:22" x14ac:dyDescent="0.2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1</v>
      </c>
      <c r="P4" s="1" t="s">
        <v>2</v>
      </c>
      <c r="Q4" s="1" t="s">
        <v>3</v>
      </c>
      <c r="R4" s="1" t="s">
        <v>4</v>
      </c>
      <c r="S4" s="1" t="s">
        <v>1</v>
      </c>
      <c r="T4" s="1" t="s">
        <v>2</v>
      </c>
      <c r="U4" s="1" t="s">
        <v>3</v>
      </c>
      <c r="V4" s="1" t="s">
        <v>4</v>
      </c>
    </row>
    <row r="5" spans="1:22" x14ac:dyDescent="0.2">
      <c r="A5" s="1" t="s">
        <v>5</v>
      </c>
      <c r="B5" s="1" t="s">
        <v>6</v>
      </c>
    </row>
    <row r="6" spans="1:22" x14ac:dyDescent="0.2">
      <c r="A6" s="19" t="s">
        <v>13</v>
      </c>
      <c r="B6" s="1" t="s">
        <v>8</v>
      </c>
      <c r="C6" s="2">
        <v>376</v>
      </c>
      <c r="E6">
        <v>376</v>
      </c>
      <c r="F6">
        <v>376</v>
      </c>
    </row>
    <row r="7" spans="1:22" x14ac:dyDescent="0.2">
      <c r="A7" s="19"/>
      <c r="B7" s="1" t="s">
        <v>9</v>
      </c>
      <c r="C7">
        <v>384.4</v>
      </c>
      <c r="D7">
        <v>5.2249401910452482</v>
      </c>
      <c r="E7">
        <v>376</v>
      </c>
      <c r="F7" s="6">
        <v>390</v>
      </c>
    </row>
    <row r="8" spans="1:22" x14ac:dyDescent="0.2">
      <c r="A8" s="19"/>
      <c r="B8" s="1" t="s">
        <v>10</v>
      </c>
      <c r="C8">
        <v>366.2</v>
      </c>
      <c r="D8">
        <v>19.91732913821529</v>
      </c>
      <c r="E8">
        <v>348</v>
      </c>
      <c r="F8">
        <v>388</v>
      </c>
    </row>
    <row r="9" spans="1:22" x14ac:dyDescent="0.2">
      <c r="A9" s="19"/>
      <c r="B9" s="1" t="s">
        <v>11</v>
      </c>
      <c r="C9">
        <v>349.6</v>
      </c>
      <c r="D9">
        <v>8.961026726887944</v>
      </c>
      <c r="E9">
        <v>337</v>
      </c>
      <c r="F9">
        <v>358</v>
      </c>
    </row>
    <row r="10" spans="1:22" x14ac:dyDescent="0.2">
      <c r="A10" s="19"/>
      <c r="B10" s="1" t="s">
        <v>12</v>
      </c>
      <c r="C10" s="4">
        <v>390.2</v>
      </c>
      <c r="D10" s="10">
        <v>5.2630789467763091</v>
      </c>
      <c r="E10" s="6">
        <v>384</v>
      </c>
      <c r="F10" s="6">
        <v>395</v>
      </c>
    </row>
    <row r="11" spans="1:22" x14ac:dyDescent="0.2">
      <c r="A11" s="20" t="s">
        <v>24</v>
      </c>
      <c r="B11" s="1" t="s">
        <v>8</v>
      </c>
      <c r="C11" s="7">
        <v>558</v>
      </c>
      <c r="E11">
        <v>558</v>
      </c>
      <c r="F11">
        <v>558</v>
      </c>
    </row>
    <row r="12" spans="1:22" x14ac:dyDescent="0.2">
      <c r="A12" s="20"/>
      <c r="B12" s="1" t="s">
        <v>9</v>
      </c>
      <c r="C12" s="4">
        <v>508.4</v>
      </c>
      <c r="D12">
        <v>15.91540134586621</v>
      </c>
      <c r="E12">
        <v>483</v>
      </c>
      <c r="F12">
        <v>526</v>
      </c>
    </row>
    <row r="13" spans="1:22" x14ac:dyDescent="0.2">
      <c r="A13" s="20"/>
      <c r="B13" s="1" t="s">
        <v>10</v>
      </c>
      <c r="C13">
        <v>491.8</v>
      </c>
      <c r="D13">
        <v>14.855975228843111</v>
      </c>
      <c r="E13">
        <v>470</v>
      </c>
      <c r="F13">
        <v>509</v>
      </c>
    </row>
    <row r="14" spans="1:22" x14ac:dyDescent="0.2">
      <c r="A14" s="20"/>
      <c r="B14" s="1" t="s">
        <v>11</v>
      </c>
      <c r="C14">
        <v>487.4</v>
      </c>
      <c r="D14">
        <v>11.058933040759401</v>
      </c>
      <c r="E14">
        <v>471</v>
      </c>
      <c r="F14">
        <v>499</v>
      </c>
    </row>
    <row r="15" spans="1:22" x14ac:dyDescent="0.2">
      <c r="A15" s="20"/>
      <c r="B15" s="1" t="s">
        <v>12</v>
      </c>
      <c r="C15">
        <v>491.33333333333331</v>
      </c>
      <c r="D15">
        <v>12.662279942148389</v>
      </c>
      <c r="E15">
        <v>477</v>
      </c>
      <c r="F15">
        <v>501</v>
      </c>
    </row>
    <row r="16" spans="1:22" x14ac:dyDescent="0.2">
      <c r="A16" s="21" t="s">
        <v>15</v>
      </c>
      <c r="B16" s="1" t="s">
        <v>8</v>
      </c>
      <c r="C16" s="2">
        <v>315</v>
      </c>
      <c r="E16">
        <v>315</v>
      </c>
      <c r="F16">
        <v>315</v>
      </c>
    </row>
    <row r="17" spans="1:8" x14ac:dyDescent="0.2">
      <c r="A17" s="21"/>
      <c r="B17" s="1" t="s">
        <v>9</v>
      </c>
      <c r="C17" s="4">
        <v>337.6</v>
      </c>
      <c r="D17">
        <v>15.836666315863321</v>
      </c>
      <c r="E17">
        <v>310</v>
      </c>
      <c r="F17" s="6">
        <v>350</v>
      </c>
    </row>
    <row r="18" spans="1:8" x14ac:dyDescent="0.2">
      <c r="A18" s="21"/>
      <c r="B18" s="1" t="s">
        <v>10</v>
      </c>
      <c r="C18">
        <v>316.39999999999998</v>
      </c>
      <c r="D18">
        <v>12.60158720161869</v>
      </c>
      <c r="E18">
        <v>297</v>
      </c>
      <c r="F18">
        <v>332</v>
      </c>
    </row>
    <row r="19" spans="1:8" x14ac:dyDescent="0.2">
      <c r="A19" s="21"/>
      <c r="B19" s="1" t="s">
        <v>11</v>
      </c>
      <c r="C19">
        <v>320</v>
      </c>
      <c r="D19" s="10">
        <v>22.660538387249321</v>
      </c>
      <c r="E19">
        <v>290</v>
      </c>
      <c r="F19" s="6">
        <v>348</v>
      </c>
      <c r="H19" t="s">
        <v>26</v>
      </c>
    </row>
    <row r="20" spans="1:8" x14ac:dyDescent="0.2">
      <c r="A20" s="21"/>
      <c r="B20" s="1" t="s">
        <v>12</v>
      </c>
      <c r="C20">
        <v>320.2</v>
      </c>
      <c r="D20" s="10">
        <v>22.12916627439904</v>
      </c>
      <c r="E20">
        <v>293</v>
      </c>
      <c r="F20" s="6">
        <v>345</v>
      </c>
    </row>
    <row r="21" spans="1:8" x14ac:dyDescent="0.2">
      <c r="A21" s="21" t="s">
        <v>14</v>
      </c>
      <c r="B21" s="1" t="s">
        <v>8</v>
      </c>
      <c r="C21" s="2">
        <v>444</v>
      </c>
      <c r="E21">
        <v>444</v>
      </c>
      <c r="F21">
        <v>444</v>
      </c>
    </row>
    <row r="22" spans="1:8" x14ac:dyDescent="0.2">
      <c r="A22" s="21"/>
      <c r="B22" s="1" t="s">
        <v>9</v>
      </c>
      <c r="C22" s="4">
        <v>446.8</v>
      </c>
      <c r="D22" s="10">
        <v>32.221111091953368</v>
      </c>
      <c r="E22">
        <v>405</v>
      </c>
      <c r="F22">
        <v>479</v>
      </c>
    </row>
    <row r="23" spans="1:8" x14ac:dyDescent="0.2">
      <c r="A23" s="21"/>
      <c r="B23" s="1" t="s">
        <v>10</v>
      </c>
      <c r="C23">
        <v>418.6</v>
      </c>
      <c r="D23">
        <v>19.46278500112459</v>
      </c>
      <c r="E23">
        <v>400</v>
      </c>
      <c r="F23">
        <v>451</v>
      </c>
    </row>
    <row r="24" spans="1:8" x14ac:dyDescent="0.2">
      <c r="A24" s="21"/>
      <c r="B24" s="1" t="s">
        <v>11</v>
      </c>
      <c r="C24">
        <v>406.4</v>
      </c>
      <c r="D24" s="10">
        <v>28.605943438383569</v>
      </c>
      <c r="E24" s="6">
        <v>383</v>
      </c>
      <c r="F24" s="6">
        <v>454</v>
      </c>
    </row>
    <row r="25" spans="1:8" x14ac:dyDescent="0.2">
      <c r="A25" s="21"/>
      <c r="B25" s="1" t="s">
        <v>12</v>
      </c>
      <c r="C25" s="3">
        <v>430.8</v>
      </c>
      <c r="D25">
        <v>23.34951819631403</v>
      </c>
      <c r="E25">
        <v>413</v>
      </c>
      <c r="F25">
        <v>469</v>
      </c>
    </row>
    <row r="26" spans="1:8" x14ac:dyDescent="0.2">
      <c r="A26" s="19" t="s">
        <v>17</v>
      </c>
      <c r="B26" s="1" t="s">
        <v>8</v>
      </c>
      <c r="C26" s="2">
        <v>453</v>
      </c>
      <c r="E26">
        <v>453</v>
      </c>
      <c r="F26">
        <v>453</v>
      </c>
    </row>
    <row r="27" spans="1:8" x14ac:dyDescent="0.2">
      <c r="A27" s="19"/>
      <c r="B27" s="1" t="s">
        <v>9</v>
      </c>
      <c r="C27" s="4">
        <v>473.6</v>
      </c>
      <c r="D27">
        <v>9.6591925128345917</v>
      </c>
      <c r="E27">
        <v>462</v>
      </c>
      <c r="F27" s="6">
        <v>486</v>
      </c>
    </row>
    <row r="28" spans="1:8" x14ac:dyDescent="0.2">
      <c r="A28" s="19"/>
      <c r="B28" s="1" t="s">
        <v>10</v>
      </c>
      <c r="C28">
        <v>449.2</v>
      </c>
      <c r="D28">
        <v>18.64671552847846</v>
      </c>
      <c r="E28">
        <v>431</v>
      </c>
      <c r="F28" s="6">
        <v>478</v>
      </c>
      <c r="H28" t="s">
        <v>27</v>
      </c>
    </row>
    <row r="29" spans="1:8" x14ac:dyDescent="0.2">
      <c r="A29" s="19"/>
      <c r="B29" s="1" t="s">
        <v>11</v>
      </c>
      <c r="C29">
        <v>444</v>
      </c>
      <c r="D29">
        <v>18.668154702594482</v>
      </c>
      <c r="E29">
        <v>426</v>
      </c>
      <c r="F29" s="6">
        <v>465</v>
      </c>
    </row>
    <row r="30" spans="1:8" x14ac:dyDescent="0.2">
      <c r="A30" s="19"/>
      <c r="B30" s="1" t="s">
        <v>12</v>
      </c>
      <c r="C30" s="3">
        <v>465.2</v>
      </c>
      <c r="D30">
        <v>13.33041634758645</v>
      </c>
      <c r="E30">
        <v>445</v>
      </c>
      <c r="F30" s="6">
        <v>480</v>
      </c>
    </row>
    <row r="31" spans="1:8" x14ac:dyDescent="0.2">
      <c r="A31" s="20" t="s">
        <v>18</v>
      </c>
      <c r="B31" s="1" t="s">
        <v>8</v>
      </c>
      <c r="C31" s="7">
        <v>622</v>
      </c>
      <c r="E31">
        <v>622</v>
      </c>
      <c r="F31">
        <v>622</v>
      </c>
    </row>
    <row r="32" spans="1:8" x14ac:dyDescent="0.2">
      <c r="A32" s="20"/>
      <c r="B32" s="1" t="s">
        <v>9</v>
      </c>
      <c r="C32">
        <v>601.79999999999995</v>
      </c>
      <c r="D32" s="10">
        <v>30.15294347157506</v>
      </c>
      <c r="E32">
        <v>573</v>
      </c>
      <c r="F32" s="4">
        <v>643</v>
      </c>
    </row>
    <row r="33" spans="1:22" x14ac:dyDescent="0.2">
      <c r="A33" s="20"/>
      <c r="B33" s="1" t="s">
        <v>10</v>
      </c>
      <c r="C33">
        <v>570</v>
      </c>
      <c r="D33" s="10">
        <v>24.969981978367549</v>
      </c>
      <c r="E33">
        <v>539</v>
      </c>
      <c r="F33">
        <v>606</v>
      </c>
    </row>
    <row r="34" spans="1:22" x14ac:dyDescent="0.2">
      <c r="A34" s="20"/>
      <c r="B34" s="1" t="s">
        <v>11</v>
      </c>
      <c r="C34">
        <v>567.4</v>
      </c>
      <c r="D34" s="10">
        <v>26.6608326951729</v>
      </c>
      <c r="E34">
        <v>538</v>
      </c>
      <c r="F34">
        <v>602</v>
      </c>
    </row>
    <row r="35" spans="1:22" x14ac:dyDescent="0.2">
      <c r="A35" s="20"/>
      <c r="B35" s="1" t="s">
        <v>12</v>
      </c>
      <c r="C35" s="3">
        <v>611.20000000000005</v>
      </c>
      <c r="D35" s="10">
        <v>26.17632518135424</v>
      </c>
      <c r="E35">
        <v>589</v>
      </c>
      <c r="F35" s="4">
        <v>653</v>
      </c>
    </row>
    <row r="36" spans="1:22" x14ac:dyDescent="0.2">
      <c r="A36" s="20" t="s">
        <v>20</v>
      </c>
      <c r="B36" s="1" t="s">
        <v>8</v>
      </c>
      <c r="C36" s="7">
        <v>414</v>
      </c>
      <c r="E36">
        <v>414</v>
      </c>
      <c r="F36">
        <v>414</v>
      </c>
    </row>
    <row r="37" spans="1:22" x14ac:dyDescent="0.2">
      <c r="A37" s="20"/>
      <c r="B37" s="1" t="s">
        <v>9</v>
      </c>
      <c r="C37">
        <v>338.6</v>
      </c>
      <c r="D37">
        <v>35.146834850381623</v>
      </c>
      <c r="E37">
        <v>291</v>
      </c>
      <c r="F37">
        <v>380</v>
      </c>
    </row>
    <row r="38" spans="1:22" x14ac:dyDescent="0.2">
      <c r="A38" s="20"/>
      <c r="B38" s="1" t="s">
        <v>10</v>
      </c>
      <c r="C38">
        <v>345.6</v>
      </c>
      <c r="D38">
        <v>55.823830037001223</v>
      </c>
      <c r="E38">
        <v>284</v>
      </c>
      <c r="F38">
        <v>390</v>
      </c>
    </row>
    <row r="39" spans="1:22" x14ac:dyDescent="0.2">
      <c r="A39" s="20"/>
      <c r="B39" s="1" t="s">
        <v>11</v>
      </c>
      <c r="C39">
        <v>321</v>
      </c>
      <c r="D39" s="15">
        <v>50.383529054642452</v>
      </c>
      <c r="E39">
        <v>267</v>
      </c>
      <c r="F39">
        <v>390</v>
      </c>
    </row>
    <row r="40" spans="1:22" x14ac:dyDescent="0.2">
      <c r="A40" s="20"/>
      <c r="B40" s="1" t="s">
        <v>12</v>
      </c>
      <c r="C40">
        <v>308</v>
      </c>
      <c r="D40" s="15">
        <v>51.112620750652177</v>
      </c>
      <c r="E40">
        <v>253</v>
      </c>
      <c r="F40">
        <v>392</v>
      </c>
    </row>
    <row r="41" spans="1:22" x14ac:dyDescent="0.2">
      <c r="A41" s="20" t="s">
        <v>21</v>
      </c>
      <c r="B41" s="1" t="s">
        <v>8</v>
      </c>
      <c r="C41" s="7">
        <v>536</v>
      </c>
      <c r="E41">
        <v>536</v>
      </c>
      <c r="F41">
        <v>536</v>
      </c>
    </row>
    <row r="42" spans="1:22" x14ac:dyDescent="0.2">
      <c r="A42" s="20"/>
      <c r="B42" s="1" t="s">
        <v>9</v>
      </c>
      <c r="C42">
        <v>474.2</v>
      </c>
      <c r="D42">
        <v>17.04992668605939</v>
      </c>
      <c r="E42">
        <v>453</v>
      </c>
      <c r="F42">
        <v>494</v>
      </c>
    </row>
    <row r="43" spans="1:22" x14ac:dyDescent="0.2">
      <c r="A43" s="20"/>
      <c r="B43" s="1" t="s">
        <v>10</v>
      </c>
      <c r="C43">
        <v>458.6</v>
      </c>
      <c r="D43">
        <v>23.670656940608978</v>
      </c>
      <c r="E43">
        <v>439</v>
      </c>
      <c r="F43">
        <v>495</v>
      </c>
    </row>
    <row r="44" spans="1:22" x14ac:dyDescent="0.2">
      <c r="A44" s="20"/>
      <c r="B44" s="1" t="s">
        <v>11</v>
      </c>
      <c r="C44">
        <v>420.8</v>
      </c>
      <c r="D44" s="12">
        <v>47.66235411726953</v>
      </c>
      <c r="E44">
        <v>366</v>
      </c>
      <c r="F44">
        <v>475</v>
      </c>
    </row>
    <row r="45" spans="1:22" x14ac:dyDescent="0.2">
      <c r="A45" s="20"/>
      <c r="B45" s="1" t="s">
        <v>12</v>
      </c>
      <c r="C45">
        <v>449.25</v>
      </c>
      <c r="D45" s="12">
        <v>61.451200151014127</v>
      </c>
      <c r="E45">
        <v>359</v>
      </c>
      <c r="F45">
        <v>497</v>
      </c>
    </row>
    <row r="46" spans="1:22" x14ac:dyDescent="0.2">
      <c r="A46" s="16" t="s">
        <v>23</v>
      </c>
      <c r="B46" s="1" t="s">
        <v>8</v>
      </c>
      <c r="C46" s="5">
        <v>303</v>
      </c>
      <c r="E46">
        <v>303</v>
      </c>
      <c r="F46">
        <v>303</v>
      </c>
      <c r="G46">
        <v>2.0106923580169682</v>
      </c>
      <c r="I46">
        <v>2.0106923580169682</v>
      </c>
      <c r="J46">
        <v>2.0106923580169682</v>
      </c>
      <c r="K46">
        <v>99.621165057908925</v>
      </c>
      <c r="M46">
        <v>99.621165057908925</v>
      </c>
      <c r="N46">
        <v>99.621165057908925</v>
      </c>
    </row>
    <row r="47" spans="1:22" x14ac:dyDescent="0.2">
      <c r="A47" s="17"/>
      <c r="B47" s="14" t="s">
        <v>9</v>
      </c>
      <c r="C47">
        <v>350.2</v>
      </c>
      <c r="D47">
        <v>9.4180677423768842</v>
      </c>
      <c r="E47">
        <v>336</v>
      </c>
      <c r="F47">
        <v>361</v>
      </c>
      <c r="G47">
        <v>1.1950191020965579</v>
      </c>
      <c r="H47">
        <v>0.18039257824792401</v>
      </c>
      <c r="I47">
        <v>1.022696733474731</v>
      </c>
      <c r="J47">
        <v>1.462550163269043</v>
      </c>
      <c r="K47">
        <v>98.749927787351922</v>
      </c>
      <c r="L47">
        <v>0.51153148288347228</v>
      </c>
      <c r="M47">
        <v>98.521163953680173</v>
      </c>
      <c r="N47">
        <v>99.66498312203889</v>
      </c>
      <c r="O47">
        <v>4613.8</v>
      </c>
      <c r="P47">
        <v>4718.344010349394</v>
      </c>
      <c r="Q47">
        <v>0</v>
      </c>
      <c r="R47">
        <v>9742</v>
      </c>
      <c r="S47">
        <v>0.46138000000000001</v>
      </c>
      <c r="T47">
        <v>0.47183440103493929</v>
      </c>
      <c r="U47">
        <v>0</v>
      </c>
      <c r="V47">
        <v>0.97419999999999995</v>
      </c>
    </row>
    <row r="48" spans="1:22" x14ac:dyDescent="0.2">
      <c r="A48" s="17"/>
      <c r="B48" s="1" t="s">
        <v>10</v>
      </c>
      <c r="C48">
        <v>342.4</v>
      </c>
      <c r="D48">
        <v>24.398770460824451</v>
      </c>
      <c r="E48">
        <v>300</v>
      </c>
      <c r="F48">
        <v>362</v>
      </c>
      <c r="G48">
        <v>0.46023111343383788</v>
      </c>
      <c r="H48">
        <v>2.6846504271177369E-2</v>
      </c>
      <c r="I48">
        <v>0.43242383003234858</v>
      </c>
      <c r="J48">
        <v>0.49813580513000488</v>
      </c>
      <c r="K48">
        <v>98.911688245431449</v>
      </c>
      <c r="L48">
        <v>0.4055898439879066</v>
      </c>
      <c r="M48">
        <v>98.521163953680173</v>
      </c>
      <c r="N48">
        <v>99.329966244077795</v>
      </c>
    </row>
    <row r="49" spans="1:22" x14ac:dyDescent="0.2">
      <c r="A49" s="17"/>
      <c r="B49" s="1" t="s">
        <v>11</v>
      </c>
      <c r="C49">
        <v>348.4</v>
      </c>
      <c r="D49">
        <v>11.696153213770771</v>
      </c>
      <c r="E49">
        <v>339</v>
      </c>
      <c r="F49">
        <v>367</v>
      </c>
      <c r="G49">
        <v>1.896955394744873</v>
      </c>
      <c r="H49">
        <v>0.22758657751800609</v>
      </c>
      <c r="I49">
        <v>1.507538795471191</v>
      </c>
      <c r="J49">
        <v>2.0896544456481929</v>
      </c>
      <c r="K49">
        <v>99.396969619670017</v>
      </c>
      <c r="L49">
        <v>0.14982410254615131</v>
      </c>
      <c r="M49">
        <v>99.329966244077795</v>
      </c>
      <c r="N49">
        <v>99.66498312203889</v>
      </c>
      <c r="O49">
        <v>2947.6</v>
      </c>
      <c r="P49">
        <v>2418.0015095115218</v>
      </c>
      <c r="Q49">
        <v>223</v>
      </c>
      <c r="R49">
        <v>5472</v>
      </c>
      <c r="S49">
        <v>0.29476000000000002</v>
      </c>
      <c r="T49">
        <v>0.2418001509511522</v>
      </c>
      <c r="U49">
        <v>2.23E-2</v>
      </c>
      <c r="V49">
        <v>0.54720000000000002</v>
      </c>
    </row>
    <row r="50" spans="1:22" x14ac:dyDescent="0.2">
      <c r="A50" s="22"/>
      <c r="B50" s="1" t="s">
        <v>12</v>
      </c>
      <c r="C50" s="4">
        <v>359</v>
      </c>
      <c r="D50">
        <v>14.071247279470301</v>
      </c>
      <c r="E50">
        <v>343</v>
      </c>
      <c r="F50">
        <v>377</v>
      </c>
      <c r="G50">
        <v>2.0801680564880369</v>
      </c>
      <c r="H50">
        <v>8.8585796560101085E-2</v>
      </c>
      <c r="I50">
        <v>1.922396183013916</v>
      </c>
      <c r="J50">
        <v>2.1307270526885991</v>
      </c>
      <c r="K50">
        <v>99.369215912774933</v>
      </c>
      <c r="L50">
        <v>0.49577398783232568</v>
      </c>
      <c r="M50">
        <v>98.521163953680173</v>
      </c>
      <c r="N50">
        <v>99.66498312203889</v>
      </c>
    </row>
    <row r="51" spans="1:22" x14ac:dyDescent="0.2">
      <c r="A51" s="16" t="s">
        <v>28</v>
      </c>
      <c r="B51" s="1" t="s">
        <v>8</v>
      </c>
      <c r="C51" s="5">
        <v>348</v>
      </c>
      <c r="E51">
        <v>348</v>
      </c>
      <c r="F51">
        <v>348</v>
      </c>
      <c r="G51">
        <v>2.0099177360534668</v>
      </c>
      <c r="I51">
        <v>2.0099177360534668</v>
      </c>
      <c r="J51">
        <v>2.0099177360534668</v>
      </c>
      <c r="K51">
        <v>100</v>
      </c>
      <c r="M51">
        <v>100</v>
      </c>
      <c r="N51">
        <v>100</v>
      </c>
    </row>
    <row r="52" spans="1:22" x14ac:dyDescent="0.2">
      <c r="A52" s="17"/>
      <c r="B52" s="14" t="s">
        <v>9</v>
      </c>
      <c r="C52" s="4">
        <v>443.6</v>
      </c>
      <c r="D52">
        <v>10.212737145349429</v>
      </c>
      <c r="E52">
        <v>432</v>
      </c>
      <c r="F52">
        <v>459</v>
      </c>
      <c r="G52">
        <v>1.564440631866455</v>
      </c>
      <c r="H52">
        <v>0.1698978432962</v>
      </c>
      <c r="I52">
        <v>1.391818761825562</v>
      </c>
      <c r="J52">
        <v>1.7636628150939939</v>
      </c>
      <c r="K52">
        <v>99.497474683058329</v>
      </c>
      <c r="L52">
        <v>1.5888218580782551E-14</v>
      </c>
      <c r="M52">
        <v>99.497474683058314</v>
      </c>
      <c r="N52">
        <v>99.497474683058343</v>
      </c>
      <c r="O52">
        <v>3729.2</v>
      </c>
      <c r="P52">
        <v>5118.9370673998328</v>
      </c>
      <c r="Q52">
        <v>0</v>
      </c>
      <c r="R52">
        <v>9829</v>
      </c>
      <c r="S52">
        <v>0.37291999999999997</v>
      </c>
      <c r="T52">
        <v>0.51189370673998325</v>
      </c>
      <c r="U52">
        <v>0</v>
      </c>
      <c r="V52">
        <v>0.9829</v>
      </c>
    </row>
    <row r="53" spans="1:22" x14ac:dyDescent="0.2">
      <c r="A53" s="17"/>
      <c r="B53" s="1" t="s">
        <v>10</v>
      </c>
      <c r="C53">
        <v>417.8</v>
      </c>
      <c r="D53">
        <v>11.122050170719421</v>
      </c>
      <c r="E53">
        <v>405</v>
      </c>
      <c r="F53">
        <v>434</v>
      </c>
      <c r="G53">
        <v>0.59997572898864748</v>
      </c>
      <c r="H53">
        <v>5.799737114957286E-2</v>
      </c>
      <c r="I53">
        <v>0.55214214324951172</v>
      </c>
      <c r="J53">
        <v>0.68944382667541504</v>
      </c>
      <c r="K53">
        <v>99.376154339498697</v>
      </c>
      <c r="L53">
        <v>0.27128053525298179</v>
      </c>
      <c r="M53">
        <v>98.890872965260129</v>
      </c>
      <c r="N53">
        <v>99.497474683058343</v>
      </c>
    </row>
    <row r="54" spans="1:22" x14ac:dyDescent="0.2">
      <c r="A54" s="17"/>
      <c r="B54" s="1" t="s">
        <v>11</v>
      </c>
      <c r="C54">
        <v>445.2</v>
      </c>
      <c r="D54">
        <v>17.68332547910601</v>
      </c>
      <c r="E54">
        <v>428</v>
      </c>
      <c r="F54">
        <v>466</v>
      </c>
      <c r="G54">
        <v>2.6020132064819341</v>
      </c>
      <c r="H54">
        <v>0.16470903347987501</v>
      </c>
      <c r="I54">
        <v>2.4085583686828609</v>
      </c>
      <c r="J54">
        <v>2.7934713363647461</v>
      </c>
      <c r="K54">
        <v>99.376154339498683</v>
      </c>
      <c r="L54">
        <v>0.27128053525298979</v>
      </c>
      <c r="M54">
        <v>98.890872965260115</v>
      </c>
      <c r="N54">
        <v>99.497474683058343</v>
      </c>
      <c r="O54">
        <v>5952.8</v>
      </c>
      <c r="P54">
        <v>657.89908040671401</v>
      </c>
      <c r="Q54">
        <v>5226</v>
      </c>
      <c r="R54">
        <v>6961</v>
      </c>
      <c r="S54">
        <v>0.59528000000000003</v>
      </c>
      <c r="T54">
        <v>6.5789908040671363E-2</v>
      </c>
      <c r="U54">
        <v>0.52259999999999995</v>
      </c>
      <c r="V54">
        <v>0.69609999999999994</v>
      </c>
    </row>
    <row r="55" spans="1:22" x14ac:dyDescent="0.2">
      <c r="A55" s="17"/>
      <c r="B55" s="1" t="s">
        <v>12</v>
      </c>
      <c r="C55" s="4">
        <v>440.8</v>
      </c>
      <c r="D55">
        <v>18.61988184710096</v>
      </c>
      <c r="E55">
        <v>414</v>
      </c>
      <c r="F55">
        <v>460</v>
      </c>
      <c r="G55">
        <v>2.5720071315765378</v>
      </c>
      <c r="H55">
        <v>6.8143471532315286E-2</v>
      </c>
      <c r="I55">
        <v>2.4639968872070308</v>
      </c>
      <c r="J55">
        <v>2.6415882110595699</v>
      </c>
      <c r="K55">
        <v>99.426406871192867</v>
      </c>
      <c r="L55">
        <v>0.3185299821684201</v>
      </c>
      <c r="M55">
        <v>98.890872965260115</v>
      </c>
      <c r="N55">
        <v>99.748737341529164</v>
      </c>
    </row>
    <row r="60" spans="1:22" x14ac:dyDescent="0.2">
      <c r="A60">
        <f>Test2!C10/Test1!C10</f>
        <v>1.0143516145566376</v>
      </c>
    </row>
    <row r="61" spans="1:22" x14ac:dyDescent="0.2">
      <c r="C61">
        <v>1</v>
      </c>
      <c r="D61">
        <f>(Test2!C50-Test1!C50)/Test1!C50*100</f>
        <v>1.392757660167131</v>
      </c>
    </row>
    <row r="62" spans="1:22" x14ac:dyDescent="0.2">
      <c r="C62">
        <v>2</v>
      </c>
      <c r="D62">
        <f>(Test2!C55-Test1!C55)/Test1!C55*100</f>
        <v>1.8148820326678767</v>
      </c>
    </row>
    <row r="63" spans="1:22" x14ac:dyDescent="0.2">
      <c r="C63">
        <v>3</v>
      </c>
      <c r="D63">
        <f>(Test2!C10-C10)/C10*100</f>
        <v>1.4351614556637682</v>
      </c>
    </row>
    <row r="64" spans="1:22" x14ac:dyDescent="0.2">
      <c r="C64">
        <v>4</v>
      </c>
      <c r="D64">
        <f>(Test2!C15-C15)/C15*100</f>
        <v>1.4382632293080047</v>
      </c>
    </row>
    <row r="65" spans="3:4" x14ac:dyDescent="0.2">
      <c r="C65">
        <v>5</v>
      </c>
      <c r="D65">
        <f>(Test2!C20-C20)/C20*100</f>
        <v>4.3722673329169268</v>
      </c>
    </row>
    <row r="66" spans="3:4" x14ac:dyDescent="0.2">
      <c r="C66">
        <v>6</v>
      </c>
      <c r="D66">
        <f>(Test2!C25-C25)/C25*100</f>
        <v>4.9675023212627618</v>
      </c>
    </row>
    <row r="67" spans="3:4" x14ac:dyDescent="0.2">
      <c r="C67">
        <v>7</v>
      </c>
      <c r="D67">
        <f>(Test2!C30-C30)/C30*100</f>
        <v>4.6431642304385266</v>
      </c>
    </row>
    <row r="68" spans="3:4" x14ac:dyDescent="0.2">
      <c r="C68">
        <v>8</v>
      </c>
      <c r="D68">
        <f>(Test2!C35-C35)/C35*100</f>
        <v>-3.1413612565445099</v>
      </c>
    </row>
    <row r="69" spans="3:4" x14ac:dyDescent="0.2">
      <c r="C69">
        <v>9</v>
      </c>
      <c r="D69">
        <f>(Test2!C40-Test1!C40)/Test1!C40*100</f>
        <v>-3.8311688311688346</v>
      </c>
    </row>
    <row r="70" spans="3:4" x14ac:dyDescent="0.2">
      <c r="C70">
        <v>10</v>
      </c>
      <c r="D70">
        <f>(Test2!C45-Test1!C45)/Test1!C45*100</f>
        <v>-11.686143572621036</v>
      </c>
    </row>
  </sheetData>
  <mergeCells count="15">
    <mergeCell ref="A51:A55"/>
    <mergeCell ref="G3:J3"/>
    <mergeCell ref="K3:N3"/>
    <mergeCell ref="O3:R3"/>
    <mergeCell ref="S3:V3"/>
    <mergeCell ref="A26:A30"/>
    <mergeCell ref="C3:F3"/>
    <mergeCell ref="A6:A10"/>
    <mergeCell ref="A11:A15"/>
    <mergeCell ref="A16:A20"/>
    <mergeCell ref="A21:A25"/>
    <mergeCell ref="A31:A35"/>
    <mergeCell ref="A36:A40"/>
    <mergeCell ref="A41:A45"/>
    <mergeCell ref="A46:A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F7C1-6CD3-4B61-9368-31485E040906}">
  <dimension ref="A1:V55"/>
  <sheetViews>
    <sheetView topLeftCell="A27" zoomScale="265" zoomScaleNormal="100" workbookViewId="0">
      <selection activeCell="B10" sqref="B10"/>
    </sheetView>
  </sheetViews>
  <sheetFormatPr baseColWidth="10" defaultColWidth="8.83203125" defaultRowHeight="15" x14ac:dyDescent="0.2"/>
  <cols>
    <col min="1" max="1" width="37.5" bestFit="1" customWidth="1"/>
    <col min="2" max="2" width="11.5" bestFit="1" customWidth="1"/>
  </cols>
  <sheetData>
    <row r="1" spans="1:22" x14ac:dyDescent="0.2">
      <c r="A1" t="s">
        <v>7</v>
      </c>
    </row>
    <row r="3" spans="1:22" x14ac:dyDescent="0.2">
      <c r="B3" s="1"/>
      <c r="C3" s="18" t="s">
        <v>0</v>
      </c>
      <c r="D3" s="18"/>
      <c r="E3" s="18"/>
      <c r="F3" s="18"/>
      <c r="G3" s="18" t="s">
        <v>37</v>
      </c>
      <c r="H3" s="18"/>
      <c r="I3" s="18"/>
      <c r="J3" s="18"/>
      <c r="K3" s="18" t="s">
        <v>38</v>
      </c>
      <c r="L3" s="18"/>
      <c r="M3" s="18"/>
      <c r="N3" s="18"/>
      <c r="O3" s="18" t="s">
        <v>39</v>
      </c>
      <c r="P3" s="18"/>
      <c r="Q3" s="18"/>
      <c r="R3" s="18"/>
      <c r="S3" s="18" t="s">
        <v>40</v>
      </c>
      <c r="T3" s="18"/>
      <c r="U3" s="18"/>
      <c r="V3" s="18"/>
    </row>
    <row r="4" spans="1:22" x14ac:dyDescent="0.2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1</v>
      </c>
      <c r="P4" s="1" t="s">
        <v>2</v>
      </c>
      <c r="Q4" s="1" t="s">
        <v>3</v>
      </c>
      <c r="R4" s="1" t="s">
        <v>4</v>
      </c>
      <c r="S4" s="1" t="s">
        <v>1</v>
      </c>
      <c r="T4" s="1" t="s">
        <v>2</v>
      </c>
      <c r="U4" s="1" t="s">
        <v>3</v>
      </c>
      <c r="V4" s="1" t="s">
        <v>4</v>
      </c>
    </row>
    <row r="5" spans="1:22" x14ac:dyDescent="0.2">
      <c r="A5" s="1" t="s">
        <v>5</v>
      </c>
      <c r="B5" s="1" t="s">
        <v>6</v>
      </c>
    </row>
    <row r="6" spans="1:22" x14ac:dyDescent="0.2">
      <c r="A6" s="19" t="s">
        <v>13</v>
      </c>
      <c r="B6" s="1" t="s">
        <v>8</v>
      </c>
      <c r="C6" s="5">
        <v>376</v>
      </c>
      <c r="E6">
        <v>376</v>
      </c>
      <c r="F6">
        <v>376</v>
      </c>
    </row>
    <row r="7" spans="1:22" x14ac:dyDescent="0.2">
      <c r="A7" s="19"/>
      <c r="B7" s="1" t="s">
        <v>9</v>
      </c>
      <c r="C7">
        <v>379.2</v>
      </c>
      <c r="D7">
        <v>23.847431727546681</v>
      </c>
      <c r="E7">
        <v>343</v>
      </c>
      <c r="F7">
        <v>402</v>
      </c>
    </row>
    <row r="8" spans="1:22" x14ac:dyDescent="0.2">
      <c r="A8" s="19"/>
      <c r="B8" s="1" t="s">
        <v>10</v>
      </c>
      <c r="C8">
        <v>357.6</v>
      </c>
      <c r="D8">
        <v>14.0107101889947</v>
      </c>
      <c r="E8">
        <v>342</v>
      </c>
      <c r="F8">
        <v>379</v>
      </c>
    </row>
    <row r="9" spans="1:22" x14ac:dyDescent="0.2">
      <c r="A9" s="19"/>
      <c r="B9" s="1" t="s">
        <v>11</v>
      </c>
      <c r="C9">
        <v>376.8</v>
      </c>
      <c r="D9">
        <v>23.805461558222309</v>
      </c>
      <c r="E9">
        <v>360</v>
      </c>
      <c r="F9">
        <v>417</v>
      </c>
    </row>
    <row r="10" spans="1:22" x14ac:dyDescent="0.2">
      <c r="A10" s="19"/>
      <c r="B10" s="1" t="s">
        <v>12</v>
      </c>
      <c r="C10" s="4">
        <v>395.8</v>
      </c>
      <c r="D10">
        <v>10.497618777608571</v>
      </c>
      <c r="E10">
        <v>378</v>
      </c>
      <c r="F10">
        <v>404</v>
      </c>
    </row>
    <row r="11" spans="1:22" x14ac:dyDescent="0.2">
      <c r="A11" s="20" t="s">
        <v>24</v>
      </c>
      <c r="B11" s="1" t="s">
        <v>8</v>
      </c>
      <c r="C11" s="7">
        <v>558</v>
      </c>
      <c r="E11">
        <v>558</v>
      </c>
      <c r="F11" s="11">
        <v>558</v>
      </c>
    </row>
    <row r="12" spans="1:22" x14ac:dyDescent="0.2">
      <c r="A12" s="20"/>
      <c r="B12" s="1" t="s">
        <v>9</v>
      </c>
      <c r="C12">
        <v>524.79999999999995</v>
      </c>
      <c r="D12">
        <v>6.4187226143524772</v>
      </c>
      <c r="E12">
        <v>514</v>
      </c>
      <c r="F12">
        <v>530</v>
      </c>
      <c r="H12" t="s">
        <v>25</v>
      </c>
    </row>
    <row r="13" spans="1:22" x14ac:dyDescent="0.2">
      <c r="A13" s="20"/>
      <c r="B13" s="1" t="s">
        <v>10</v>
      </c>
      <c r="C13">
        <v>489.2</v>
      </c>
      <c r="D13">
        <v>9.7826376811164799</v>
      </c>
      <c r="E13">
        <v>478</v>
      </c>
      <c r="F13">
        <v>503</v>
      </c>
    </row>
    <row r="14" spans="1:22" x14ac:dyDescent="0.2">
      <c r="A14" s="20"/>
      <c r="B14" s="1" t="s">
        <v>11</v>
      </c>
      <c r="C14">
        <v>487.8</v>
      </c>
      <c r="D14">
        <v>2.8635642126552661</v>
      </c>
      <c r="E14">
        <v>484</v>
      </c>
      <c r="F14">
        <v>492</v>
      </c>
    </row>
    <row r="15" spans="1:22" x14ac:dyDescent="0.2">
      <c r="A15" s="20"/>
      <c r="B15" s="1" t="s">
        <v>12</v>
      </c>
      <c r="C15" s="3">
        <v>498.4</v>
      </c>
      <c r="D15">
        <v>13.520355024924459</v>
      </c>
      <c r="E15">
        <v>480</v>
      </c>
      <c r="F15">
        <v>518</v>
      </c>
    </row>
    <row r="16" spans="1:22" x14ac:dyDescent="0.2">
      <c r="A16" s="21" t="s">
        <v>15</v>
      </c>
      <c r="B16" s="1" t="s">
        <v>8</v>
      </c>
      <c r="C16" s="2">
        <v>315</v>
      </c>
      <c r="E16">
        <v>315</v>
      </c>
      <c r="F16">
        <v>315</v>
      </c>
    </row>
    <row r="17" spans="1:8" x14ac:dyDescent="0.2">
      <c r="A17" s="21"/>
      <c r="B17" s="1" t="s">
        <v>9</v>
      </c>
      <c r="C17" s="4">
        <v>345.4</v>
      </c>
      <c r="D17">
        <v>4.1593268686170903</v>
      </c>
      <c r="E17">
        <v>341</v>
      </c>
      <c r="F17" s="6">
        <v>352</v>
      </c>
    </row>
    <row r="18" spans="1:8" x14ac:dyDescent="0.2">
      <c r="A18" s="21"/>
      <c r="B18" s="1" t="s">
        <v>10</v>
      </c>
      <c r="C18">
        <v>328</v>
      </c>
      <c r="D18">
        <v>21.095023109728981</v>
      </c>
      <c r="E18">
        <v>296</v>
      </c>
      <c r="F18">
        <v>345</v>
      </c>
    </row>
    <row r="19" spans="1:8" x14ac:dyDescent="0.2">
      <c r="A19" s="21"/>
      <c r="B19" s="1" t="s">
        <v>11</v>
      </c>
      <c r="C19">
        <v>320.60000000000002</v>
      </c>
      <c r="D19">
        <v>12.218837915284739</v>
      </c>
      <c r="E19">
        <v>306</v>
      </c>
      <c r="F19">
        <v>339</v>
      </c>
    </row>
    <row r="20" spans="1:8" x14ac:dyDescent="0.2">
      <c r="A20" s="29"/>
      <c r="B20" s="8" t="s">
        <v>12</v>
      </c>
      <c r="C20">
        <v>334.2</v>
      </c>
      <c r="D20">
        <v>11.0770032048384</v>
      </c>
      <c r="E20">
        <v>317</v>
      </c>
      <c r="F20">
        <v>345</v>
      </c>
    </row>
    <row r="21" spans="1:8" x14ac:dyDescent="0.2">
      <c r="A21" s="24" t="s">
        <v>14</v>
      </c>
      <c r="B21" s="9" t="s">
        <v>8</v>
      </c>
      <c r="C21" s="5">
        <v>444</v>
      </c>
      <c r="E21">
        <v>444</v>
      </c>
      <c r="F21">
        <v>444</v>
      </c>
    </row>
    <row r="22" spans="1:8" x14ac:dyDescent="0.2">
      <c r="A22" s="24"/>
      <c r="B22" s="1" t="s">
        <v>9</v>
      </c>
      <c r="C22">
        <v>413</v>
      </c>
      <c r="D22">
        <v>19.013153341831551</v>
      </c>
      <c r="E22">
        <v>387</v>
      </c>
      <c r="F22">
        <v>434</v>
      </c>
    </row>
    <row r="23" spans="1:8" x14ac:dyDescent="0.2">
      <c r="A23" s="24"/>
      <c r="B23" s="1" t="s">
        <v>10</v>
      </c>
      <c r="C23">
        <v>424.2</v>
      </c>
      <c r="D23">
        <v>24.48877293781786</v>
      </c>
      <c r="E23">
        <v>403</v>
      </c>
      <c r="F23">
        <v>453</v>
      </c>
    </row>
    <row r="24" spans="1:8" x14ac:dyDescent="0.2">
      <c r="A24" s="24"/>
      <c r="B24" s="1" t="s">
        <v>11</v>
      </c>
      <c r="C24">
        <v>403.4</v>
      </c>
      <c r="D24">
        <v>10.968135666557</v>
      </c>
      <c r="E24">
        <v>387</v>
      </c>
      <c r="F24">
        <v>416</v>
      </c>
    </row>
    <row r="25" spans="1:8" x14ac:dyDescent="0.2">
      <c r="A25" s="25"/>
      <c r="B25" s="1" t="s">
        <v>12</v>
      </c>
      <c r="C25" s="4">
        <v>452.2</v>
      </c>
      <c r="D25">
        <v>24.488772937817849</v>
      </c>
      <c r="E25">
        <v>417</v>
      </c>
      <c r="F25" s="4">
        <v>481</v>
      </c>
    </row>
    <row r="26" spans="1:8" x14ac:dyDescent="0.2">
      <c r="A26" s="23" t="s">
        <v>17</v>
      </c>
      <c r="B26" s="1" t="s">
        <v>8</v>
      </c>
      <c r="C26" s="5">
        <v>453</v>
      </c>
      <c r="E26">
        <v>453</v>
      </c>
      <c r="F26">
        <v>453</v>
      </c>
    </row>
    <row r="27" spans="1:8" x14ac:dyDescent="0.2">
      <c r="A27" s="24"/>
      <c r="B27" s="1" t="s">
        <v>9</v>
      </c>
      <c r="C27">
        <v>453.8</v>
      </c>
      <c r="D27">
        <v>20.620378270051209</v>
      </c>
      <c r="E27">
        <v>427</v>
      </c>
      <c r="F27">
        <v>480</v>
      </c>
      <c r="H27" t="s">
        <v>16</v>
      </c>
    </row>
    <row r="28" spans="1:8" x14ac:dyDescent="0.2">
      <c r="A28" s="24"/>
      <c r="B28" s="1" t="s">
        <v>10</v>
      </c>
      <c r="C28">
        <v>455.4</v>
      </c>
      <c r="D28">
        <v>23.028243528328431</v>
      </c>
      <c r="E28">
        <v>435</v>
      </c>
      <c r="F28">
        <v>481</v>
      </c>
    </row>
    <row r="29" spans="1:8" x14ac:dyDescent="0.2">
      <c r="A29" s="24"/>
      <c r="B29" s="1" t="s">
        <v>11</v>
      </c>
      <c r="C29">
        <v>465.4</v>
      </c>
      <c r="D29">
        <v>30.38585197094201</v>
      </c>
      <c r="E29">
        <v>427</v>
      </c>
      <c r="F29">
        <v>495</v>
      </c>
    </row>
    <row r="30" spans="1:8" x14ac:dyDescent="0.2">
      <c r="A30" s="25"/>
      <c r="B30" s="1" t="s">
        <v>12</v>
      </c>
      <c r="C30" s="4">
        <v>486.8</v>
      </c>
      <c r="D30">
        <v>14.04279174523357</v>
      </c>
      <c r="E30">
        <v>476</v>
      </c>
      <c r="F30">
        <v>510</v>
      </c>
    </row>
    <row r="31" spans="1:8" x14ac:dyDescent="0.2">
      <c r="A31" s="26" t="s">
        <v>18</v>
      </c>
      <c r="B31" s="1" t="s">
        <v>8</v>
      </c>
      <c r="C31" s="5">
        <v>622</v>
      </c>
      <c r="E31">
        <v>622</v>
      </c>
      <c r="F31">
        <v>622</v>
      </c>
    </row>
    <row r="32" spans="1:8" x14ac:dyDescent="0.2">
      <c r="A32" s="27"/>
      <c r="B32" s="1" t="s">
        <v>9</v>
      </c>
      <c r="C32">
        <v>589.6</v>
      </c>
      <c r="D32">
        <v>17.00882124075622</v>
      </c>
      <c r="E32">
        <v>571</v>
      </c>
      <c r="F32">
        <v>608</v>
      </c>
    </row>
    <row r="33" spans="1:22" x14ac:dyDescent="0.2">
      <c r="A33" s="27"/>
      <c r="B33" s="1" t="s">
        <v>10</v>
      </c>
      <c r="C33">
        <v>576.6</v>
      </c>
      <c r="D33">
        <v>22.578751072634649</v>
      </c>
      <c r="E33">
        <v>559</v>
      </c>
      <c r="F33">
        <v>610</v>
      </c>
    </row>
    <row r="34" spans="1:22" x14ac:dyDescent="0.2">
      <c r="A34" s="27"/>
      <c r="B34" s="1" t="s">
        <v>11</v>
      </c>
      <c r="C34">
        <v>580.4</v>
      </c>
      <c r="D34">
        <v>30.154601638887559</v>
      </c>
      <c r="E34">
        <v>542</v>
      </c>
      <c r="F34">
        <v>625</v>
      </c>
    </row>
    <row r="35" spans="1:22" x14ac:dyDescent="0.2">
      <c r="A35" s="28"/>
      <c r="B35" s="1" t="s">
        <v>12</v>
      </c>
      <c r="C35" s="3">
        <v>592</v>
      </c>
      <c r="D35">
        <v>37.993420483025737</v>
      </c>
      <c r="E35">
        <v>559</v>
      </c>
      <c r="F35">
        <v>643</v>
      </c>
    </row>
    <row r="36" spans="1:22" x14ac:dyDescent="0.2">
      <c r="A36" s="26" t="s">
        <v>20</v>
      </c>
      <c r="B36" s="1" t="s">
        <v>8</v>
      </c>
      <c r="C36" s="7">
        <v>414</v>
      </c>
      <c r="E36">
        <v>414</v>
      </c>
      <c r="F36">
        <v>414</v>
      </c>
    </row>
    <row r="37" spans="1:22" x14ac:dyDescent="0.2">
      <c r="A37" s="27"/>
      <c r="B37" s="1" t="s">
        <v>9</v>
      </c>
      <c r="C37">
        <v>355.8</v>
      </c>
      <c r="D37">
        <v>47.060599231204023</v>
      </c>
      <c r="E37">
        <v>273</v>
      </c>
      <c r="F37">
        <v>383</v>
      </c>
      <c r="H37" t="s">
        <v>19</v>
      </c>
    </row>
    <row r="38" spans="1:22" x14ac:dyDescent="0.2">
      <c r="A38" s="27"/>
      <c r="B38" s="1" t="s">
        <v>10</v>
      </c>
      <c r="C38">
        <v>303.60000000000002</v>
      </c>
      <c r="D38">
        <v>33.738701812606827</v>
      </c>
      <c r="E38">
        <v>272</v>
      </c>
      <c r="F38">
        <v>358</v>
      </c>
    </row>
    <row r="39" spans="1:22" x14ac:dyDescent="0.2">
      <c r="A39" s="27"/>
      <c r="B39" s="1" t="s">
        <v>11</v>
      </c>
      <c r="C39" s="3">
        <v>341.6</v>
      </c>
      <c r="D39">
        <v>40.457384987168901</v>
      </c>
      <c r="E39">
        <v>275</v>
      </c>
      <c r="F39">
        <v>378</v>
      </c>
    </row>
    <row r="40" spans="1:22" x14ac:dyDescent="0.2">
      <c r="A40" s="28"/>
      <c r="B40" s="1" t="s">
        <v>12</v>
      </c>
      <c r="C40" s="13">
        <v>296.2</v>
      </c>
      <c r="D40">
        <v>15.6588633048507</v>
      </c>
      <c r="E40">
        <v>271</v>
      </c>
      <c r="F40">
        <v>309</v>
      </c>
    </row>
    <row r="41" spans="1:22" x14ac:dyDescent="0.2">
      <c r="A41" s="26" t="s">
        <v>21</v>
      </c>
      <c r="B41" s="1" t="s">
        <v>8</v>
      </c>
      <c r="C41" s="7">
        <v>536</v>
      </c>
      <c r="E41">
        <v>536</v>
      </c>
      <c r="F41">
        <v>536</v>
      </c>
    </row>
    <row r="42" spans="1:22" x14ac:dyDescent="0.2">
      <c r="A42" s="27"/>
      <c r="B42" s="1" t="s">
        <v>9</v>
      </c>
      <c r="C42">
        <v>453</v>
      </c>
      <c r="D42">
        <v>43.550736694878843</v>
      </c>
      <c r="E42">
        <v>396</v>
      </c>
      <c r="F42">
        <v>497</v>
      </c>
    </row>
    <row r="43" spans="1:22" x14ac:dyDescent="0.2">
      <c r="A43" s="27"/>
      <c r="B43" s="1" t="s">
        <v>10</v>
      </c>
      <c r="C43">
        <v>440.6</v>
      </c>
      <c r="D43">
        <v>49.505555243830969</v>
      </c>
      <c r="E43">
        <v>362</v>
      </c>
      <c r="F43">
        <v>484</v>
      </c>
      <c r="H43" t="s">
        <v>22</v>
      </c>
    </row>
    <row r="44" spans="1:22" x14ac:dyDescent="0.2">
      <c r="A44" s="27"/>
      <c r="B44" s="1" t="s">
        <v>11</v>
      </c>
      <c r="C44">
        <v>374.2</v>
      </c>
      <c r="D44">
        <v>39.079406341447921</v>
      </c>
      <c r="E44">
        <v>338</v>
      </c>
      <c r="F44">
        <v>432</v>
      </c>
    </row>
    <row r="45" spans="1:22" x14ac:dyDescent="0.2">
      <c r="A45" s="28"/>
      <c r="B45" s="1" t="s">
        <v>12</v>
      </c>
      <c r="C45" s="13">
        <v>396.75</v>
      </c>
      <c r="D45">
        <v>41.772199686713492</v>
      </c>
      <c r="E45">
        <v>354</v>
      </c>
      <c r="F45">
        <v>454</v>
      </c>
    </row>
    <row r="46" spans="1:22" x14ac:dyDescent="0.2">
      <c r="A46" s="23" t="s">
        <v>23</v>
      </c>
      <c r="B46" s="1" t="s">
        <v>8</v>
      </c>
      <c r="C46" s="5">
        <v>303</v>
      </c>
      <c r="E46">
        <v>303</v>
      </c>
      <c r="F46">
        <v>303</v>
      </c>
      <c r="G46">
        <v>2.050655841827393</v>
      </c>
      <c r="I46">
        <v>2.050655841827393</v>
      </c>
      <c r="J46">
        <v>2.050655841827393</v>
      </c>
      <c r="K46">
        <v>99.621165057908925</v>
      </c>
      <c r="M46">
        <v>99.621165057908925</v>
      </c>
      <c r="N46">
        <v>99.621165057908925</v>
      </c>
    </row>
    <row r="47" spans="1:22" x14ac:dyDescent="0.2">
      <c r="A47" s="24"/>
      <c r="B47" s="1" t="s">
        <v>9</v>
      </c>
      <c r="C47">
        <v>352.2</v>
      </c>
      <c r="D47">
        <v>13.367871932360821</v>
      </c>
      <c r="E47">
        <v>339</v>
      </c>
      <c r="F47">
        <v>372</v>
      </c>
      <c r="G47">
        <v>1.299343872070313</v>
      </c>
      <c r="H47">
        <v>0.23668983572394969</v>
      </c>
      <c r="I47">
        <v>1.0473401546478269</v>
      </c>
      <c r="J47">
        <v>1.566922664642334</v>
      </c>
      <c r="K47">
        <v>99.207455454695406</v>
      </c>
      <c r="L47">
        <v>0.62649556021687081</v>
      </c>
      <c r="M47">
        <v>98.521163953680173</v>
      </c>
      <c r="N47">
        <v>99.66498312203889</v>
      </c>
      <c r="O47">
        <v>5292.2</v>
      </c>
      <c r="P47">
        <v>4965.3290122609196</v>
      </c>
      <c r="Q47">
        <v>0</v>
      </c>
      <c r="R47">
        <v>9816</v>
      </c>
      <c r="S47">
        <v>0.52922000000000002</v>
      </c>
      <c r="T47">
        <v>0.49653290122609189</v>
      </c>
      <c r="U47">
        <v>0</v>
      </c>
      <c r="V47">
        <v>0.98160000000000003</v>
      </c>
    </row>
    <row r="48" spans="1:22" x14ac:dyDescent="0.2">
      <c r="A48" s="24"/>
      <c r="B48" s="1" t="s">
        <v>10</v>
      </c>
      <c r="C48">
        <v>350</v>
      </c>
      <c r="D48">
        <v>8.1853527718724521</v>
      </c>
      <c r="E48">
        <v>341</v>
      </c>
      <c r="F48">
        <v>363</v>
      </c>
      <c r="G48">
        <v>0.44673838615417483</v>
      </c>
      <c r="H48">
        <v>2.4257010688018471E-2</v>
      </c>
      <c r="I48">
        <v>0.42199993133544922</v>
      </c>
      <c r="J48">
        <v>0.48013997077941889</v>
      </c>
      <c r="K48">
        <v>99.00644532791874</v>
      </c>
      <c r="L48">
        <v>0.44299925901262233</v>
      </c>
      <c r="M48">
        <v>98.521163953680173</v>
      </c>
      <c r="N48">
        <v>99.329966244077795</v>
      </c>
    </row>
    <row r="49" spans="1:22" x14ac:dyDescent="0.2">
      <c r="A49" s="24"/>
      <c r="B49" s="1" t="s">
        <v>11</v>
      </c>
      <c r="C49">
        <v>341.2</v>
      </c>
      <c r="D49">
        <v>30.792856314411619</v>
      </c>
      <c r="E49">
        <v>291</v>
      </c>
      <c r="F49">
        <v>374</v>
      </c>
      <c r="G49">
        <v>2.0920482158660891</v>
      </c>
      <c r="H49">
        <v>4.9527176530464713E-2</v>
      </c>
      <c r="I49">
        <v>2.0406944751739502</v>
      </c>
      <c r="J49">
        <v>2.173589706420898</v>
      </c>
      <c r="K49">
        <v>99.140452079103184</v>
      </c>
      <c r="L49">
        <v>0.58163923812625273</v>
      </c>
      <c r="M49">
        <v>98.521163953680173</v>
      </c>
      <c r="N49">
        <v>99.66498312203889</v>
      </c>
      <c r="O49">
        <v>6227.4</v>
      </c>
      <c r="P49">
        <v>3541.936024266955</v>
      </c>
      <c r="Q49">
        <v>24</v>
      </c>
      <c r="R49">
        <v>8988</v>
      </c>
      <c r="S49">
        <v>0.62274000000000007</v>
      </c>
      <c r="T49">
        <v>0.35419360242669551</v>
      </c>
      <c r="U49">
        <v>2.3999999999999998E-3</v>
      </c>
      <c r="V49">
        <v>0.89880000000000004</v>
      </c>
    </row>
    <row r="50" spans="1:22" x14ac:dyDescent="0.2">
      <c r="A50" s="25"/>
      <c r="B50" s="1" t="s">
        <v>12</v>
      </c>
      <c r="C50" s="4">
        <v>364</v>
      </c>
      <c r="D50">
        <v>10.977249200050069</v>
      </c>
      <c r="E50">
        <v>353</v>
      </c>
      <c r="F50">
        <v>378</v>
      </c>
      <c r="G50">
        <v>2.5422342777252198</v>
      </c>
      <c r="H50">
        <v>0.13609258250657569</v>
      </c>
      <c r="I50">
        <v>2.344831228256226</v>
      </c>
      <c r="J50">
        <v>2.713082075119019</v>
      </c>
      <c r="K50">
        <v>99.302212537182712</v>
      </c>
      <c r="L50">
        <v>0.46764901923288787</v>
      </c>
      <c r="M50">
        <v>98.521163953680173</v>
      </c>
      <c r="N50">
        <v>99.66498312203889</v>
      </c>
    </row>
    <row r="51" spans="1:22" x14ac:dyDescent="0.2">
      <c r="A51" s="23" t="s">
        <v>28</v>
      </c>
      <c r="B51" s="1" t="s">
        <v>8</v>
      </c>
      <c r="C51" s="5">
        <v>348</v>
      </c>
      <c r="E51">
        <v>348</v>
      </c>
      <c r="F51">
        <v>348</v>
      </c>
      <c r="G51">
        <v>2.0109350681304932</v>
      </c>
      <c r="I51">
        <v>2.0109350681304932</v>
      </c>
      <c r="J51">
        <v>2.0109350681304932</v>
      </c>
      <c r="K51">
        <v>100</v>
      </c>
      <c r="M51">
        <v>100</v>
      </c>
      <c r="N51">
        <v>100</v>
      </c>
    </row>
    <row r="52" spans="1:22" x14ac:dyDescent="0.2">
      <c r="A52" s="24"/>
      <c r="B52" s="1" t="s">
        <v>9</v>
      </c>
      <c r="C52">
        <v>440</v>
      </c>
      <c r="D52">
        <v>13.56465996625054</v>
      </c>
      <c r="E52">
        <v>427</v>
      </c>
      <c r="F52">
        <v>462</v>
      </c>
      <c r="G52">
        <v>1.569951629638672</v>
      </c>
      <c r="H52">
        <v>0.17178170640153009</v>
      </c>
      <c r="I52">
        <v>1.4821562767028811</v>
      </c>
      <c r="J52">
        <v>1.876860618591309</v>
      </c>
      <c r="K52">
        <v>99.376154339498683</v>
      </c>
      <c r="L52">
        <v>0.27128053525298479</v>
      </c>
      <c r="M52">
        <v>98.890872965260115</v>
      </c>
      <c r="N52">
        <v>99.497474683058343</v>
      </c>
      <c r="O52">
        <v>1770</v>
      </c>
      <c r="P52">
        <v>3957.8403201746278</v>
      </c>
      <c r="Q52">
        <v>0</v>
      </c>
      <c r="R52">
        <v>8850</v>
      </c>
      <c r="S52">
        <v>0.17699999999999999</v>
      </c>
      <c r="T52">
        <v>0.39578403201746282</v>
      </c>
      <c r="U52">
        <v>0</v>
      </c>
      <c r="V52">
        <v>0.88500000000000001</v>
      </c>
    </row>
    <row r="53" spans="1:22" x14ac:dyDescent="0.2">
      <c r="A53" s="24"/>
      <c r="B53" s="1" t="s">
        <v>10</v>
      </c>
      <c r="C53">
        <v>428.6</v>
      </c>
      <c r="D53">
        <v>10.8535708409721</v>
      </c>
      <c r="E53">
        <v>414</v>
      </c>
      <c r="F53">
        <v>442</v>
      </c>
      <c r="G53">
        <v>0.6146029949188232</v>
      </c>
      <c r="H53">
        <v>3.3875756563466468E-2</v>
      </c>
      <c r="I53">
        <v>0.58013224601745605</v>
      </c>
      <c r="J53">
        <v>0.65940022468566895</v>
      </c>
      <c r="K53">
        <v>99.376154339498683</v>
      </c>
      <c r="L53">
        <v>0.27128053525298951</v>
      </c>
      <c r="M53">
        <v>98.890872965260115</v>
      </c>
      <c r="N53">
        <v>99.497474683058343</v>
      </c>
    </row>
    <row r="54" spans="1:22" x14ac:dyDescent="0.2">
      <c r="A54" s="24"/>
      <c r="B54" s="1" t="s">
        <v>11</v>
      </c>
      <c r="C54">
        <v>435.8</v>
      </c>
      <c r="D54">
        <v>16.574076143182161</v>
      </c>
      <c r="E54">
        <v>412</v>
      </c>
      <c r="F54">
        <v>457</v>
      </c>
      <c r="G54">
        <v>2.462710666656494</v>
      </c>
      <c r="H54">
        <v>0.17382025759038841</v>
      </c>
      <c r="I54">
        <v>2.1660397052764888</v>
      </c>
      <c r="J54">
        <v>2.6223850250244141</v>
      </c>
      <c r="K54">
        <v>99.254833995939038</v>
      </c>
      <c r="L54">
        <v>0.33224944425945901</v>
      </c>
      <c r="M54">
        <v>98.890872965260115</v>
      </c>
      <c r="N54">
        <v>99.497474683058343</v>
      </c>
      <c r="O54">
        <v>6910.6</v>
      </c>
      <c r="P54">
        <v>1412.2348600710859</v>
      </c>
      <c r="Q54">
        <v>5421</v>
      </c>
      <c r="R54">
        <v>8995</v>
      </c>
      <c r="S54">
        <v>0.69106000000000001</v>
      </c>
      <c r="T54">
        <v>0.1412234860071086</v>
      </c>
      <c r="U54">
        <v>0.54210000000000003</v>
      </c>
      <c r="V54">
        <v>0.89949999999999997</v>
      </c>
    </row>
    <row r="55" spans="1:22" x14ac:dyDescent="0.2">
      <c r="A55" s="25"/>
      <c r="B55" s="1" t="s">
        <v>12</v>
      </c>
      <c r="C55" s="4">
        <v>448.8</v>
      </c>
      <c r="D55">
        <v>19.81665965797464</v>
      </c>
      <c r="E55">
        <v>420</v>
      </c>
      <c r="F55">
        <v>468</v>
      </c>
      <c r="G55">
        <v>2.841660356521607</v>
      </c>
      <c r="H55">
        <v>0.29428370567911449</v>
      </c>
      <c r="I55">
        <v>2.5950603485107422</v>
      </c>
      <c r="J55">
        <v>3.3389179706573491</v>
      </c>
      <c r="K55">
        <v>99.376154339498683</v>
      </c>
      <c r="L55">
        <v>0.27128053525298951</v>
      </c>
      <c r="M55">
        <v>98.890872965260115</v>
      </c>
      <c r="N55">
        <v>99.497474683058343</v>
      </c>
    </row>
  </sheetData>
  <mergeCells count="15">
    <mergeCell ref="O3:R3"/>
    <mergeCell ref="S3:V3"/>
    <mergeCell ref="A46:A50"/>
    <mergeCell ref="A11:A15"/>
    <mergeCell ref="A51:A55"/>
    <mergeCell ref="G3:J3"/>
    <mergeCell ref="K3:N3"/>
    <mergeCell ref="A26:A30"/>
    <mergeCell ref="A31:A35"/>
    <mergeCell ref="A36:A40"/>
    <mergeCell ref="A41:A45"/>
    <mergeCell ref="A21:A25"/>
    <mergeCell ref="C3:F3"/>
    <mergeCell ref="A6:A10"/>
    <mergeCell ref="A16:A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6609-257A-4A45-B385-DFB3BFE448A7}">
  <dimension ref="A1:V55"/>
  <sheetViews>
    <sheetView topLeftCell="A43" zoomScale="297" workbookViewId="0">
      <selection activeCell="C47" sqref="C47"/>
    </sheetView>
  </sheetViews>
  <sheetFormatPr baseColWidth="10" defaultColWidth="8.83203125" defaultRowHeight="15" x14ac:dyDescent="0.2"/>
  <cols>
    <col min="1" max="1" width="33.5" bestFit="1" customWidth="1"/>
    <col min="2" max="2" width="11.5" bestFit="1" customWidth="1"/>
  </cols>
  <sheetData>
    <row r="1" spans="1:22" x14ac:dyDescent="0.2">
      <c r="A1" t="s">
        <v>30</v>
      </c>
    </row>
    <row r="3" spans="1:22" x14ac:dyDescent="0.2">
      <c r="B3" s="1"/>
      <c r="C3" s="18" t="s">
        <v>0</v>
      </c>
      <c r="D3" s="18"/>
      <c r="E3" s="18"/>
      <c r="F3" s="18"/>
      <c r="G3" s="18" t="s">
        <v>37</v>
      </c>
      <c r="H3" s="18"/>
      <c r="I3" s="18"/>
      <c r="J3" s="18"/>
      <c r="K3" s="18" t="s">
        <v>38</v>
      </c>
      <c r="L3" s="18"/>
      <c r="M3" s="18"/>
      <c r="N3" s="18"/>
      <c r="O3" s="18" t="s">
        <v>39</v>
      </c>
      <c r="P3" s="18"/>
      <c r="Q3" s="18"/>
      <c r="R3" s="18"/>
      <c r="S3" s="18" t="s">
        <v>40</v>
      </c>
      <c r="T3" s="18"/>
      <c r="U3" s="18"/>
      <c r="V3" s="18"/>
    </row>
    <row r="4" spans="1:22" x14ac:dyDescent="0.2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1</v>
      </c>
      <c r="P4" s="1" t="s">
        <v>2</v>
      </c>
      <c r="Q4" s="1" t="s">
        <v>3</v>
      </c>
      <c r="R4" s="1" t="s">
        <v>4</v>
      </c>
      <c r="S4" s="1" t="s">
        <v>1</v>
      </c>
      <c r="T4" s="1" t="s">
        <v>2</v>
      </c>
      <c r="U4" s="1" t="s">
        <v>3</v>
      </c>
      <c r="V4" s="1" t="s">
        <v>4</v>
      </c>
    </row>
    <row r="5" spans="1:22" x14ac:dyDescent="0.2">
      <c r="A5" s="1" t="s">
        <v>5</v>
      </c>
      <c r="B5" s="1" t="s">
        <v>6</v>
      </c>
    </row>
    <row r="6" spans="1:22" x14ac:dyDescent="0.2">
      <c r="A6" s="21" t="s">
        <v>13</v>
      </c>
      <c r="B6" s="1" t="s">
        <v>8</v>
      </c>
      <c r="C6" s="2">
        <v>376</v>
      </c>
      <c r="E6">
        <v>376</v>
      </c>
      <c r="F6">
        <v>376</v>
      </c>
    </row>
    <row r="7" spans="1:22" x14ac:dyDescent="0.2">
      <c r="A7" s="21"/>
      <c r="B7" s="1" t="s">
        <v>9</v>
      </c>
      <c r="C7" s="4">
        <v>390.2</v>
      </c>
      <c r="D7">
        <v>6.3007936008093441</v>
      </c>
      <c r="E7">
        <v>385</v>
      </c>
      <c r="F7">
        <v>398</v>
      </c>
    </row>
    <row r="8" spans="1:22" x14ac:dyDescent="0.2">
      <c r="A8" s="21"/>
      <c r="B8" s="1" t="s">
        <v>10</v>
      </c>
      <c r="C8">
        <v>361.6</v>
      </c>
      <c r="D8">
        <v>20.007498594277099</v>
      </c>
      <c r="E8">
        <v>341</v>
      </c>
      <c r="F8">
        <v>393</v>
      </c>
    </row>
    <row r="9" spans="1:22" x14ac:dyDescent="0.2">
      <c r="A9" s="21"/>
      <c r="B9" s="1" t="s">
        <v>11</v>
      </c>
      <c r="C9">
        <v>360.8</v>
      </c>
      <c r="D9">
        <v>19.305439647933429</v>
      </c>
      <c r="E9">
        <v>342</v>
      </c>
      <c r="F9">
        <v>392</v>
      </c>
    </row>
    <row r="10" spans="1:22" x14ac:dyDescent="0.2">
      <c r="A10" s="21"/>
      <c r="B10" s="1" t="s">
        <v>12</v>
      </c>
      <c r="C10">
        <v>377.8</v>
      </c>
      <c r="D10">
        <v>16.828547174370112</v>
      </c>
      <c r="E10">
        <v>355</v>
      </c>
      <c r="F10">
        <v>401</v>
      </c>
    </row>
    <row r="11" spans="1:22" x14ac:dyDescent="0.2">
      <c r="A11" s="20" t="s">
        <v>24</v>
      </c>
      <c r="B11" s="1" t="s">
        <v>8</v>
      </c>
      <c r="C11" s="7">
        <v>558</v>
      </c>
      <c r="E11">
        <v>558</v>
      </c>
      <c r="F11">
        <v>558</v>
      </c>
    </row>
    <row r="12" spans="1:22" x14ac:dyDescent="0.2">
      <c r="A12" s="20"/>
      <c r="B12" s="1" t="s">
        <v>9</v>
      </c>
      <c r="C12">
        <v>500.6</v>
      </c>
      <c r="D12">
        <v>21.184900282984589</v>
      </c>
      <c r="E12">
        <v>480</v>
      </c>
      <c r="F12">
        <v>534</v>
      </c>
    </row>
    <row r="13" spans="1:22" x14ac:dyDescent="0.2">
      <c r="A13" s="20"/>
      <c r="B13" s="1" t="s">
        <v>10</v>
      </c>
      <c r="C13">
        <v>489.6</v>
      </c>
      <c r="D13">
        <v>5.5946402922797418</v>
      </c>
      <c r="E13">
        <v>481</v>
      </c>
      <c r="F13">
        <v>496</v>
      </c>
    </row>
    <row r="14" spans="1:22" x14ac:dyDescent="0.2">
      <c r="A14" s="20"/>
      <c r="B14" s="1" t="s">
        <v>11</v>
      </c>
      <c r="C14">
        <v>482.2</v>
      </c>
      <c r="D14">
        <v>24.560130292814002</v>
      </c>
      <c r="E14">
        <v>442</v>
      </c>
      <c r="F14">
        <v>508</v>
      </c>
    </row>
    <row r="15" spans="1:22" x14ac:dyDescent="0.2">
      <c r="A15" s="20"/>
      <c r="B15" s="1" t="s">
        <v>12</v>
      </c>
      <c r="C15">
        <v>509</v>
      </c>
      <c r="D15">
        <v>7.176350047203667</v>
      </c>
      <c r="E15">
        <v>498</v>
      </c>
      <c r="F15">
        <v>518</v>
      </c>
    </row>
    <row r="16" spans="1:22" x14ac:dyDescent="0.2">
      <c r="A16" s="21" t="s">
        <v>15</v>
      </c>
      <c r="B16" s="1" t="s">
        <v>8</v>
      </c>
      <c r="C16" s="2">
        <v>315</v>
      </c>
      <c r="E16">
        <v>315</v>
      </c>
      <c r="F16">
        <v>315</v>
      </c>
    </row>
    <row r="17" spans="1:8" x14ac:dyDescent="0.2">
      <c r="A17" s="21"/>
      <c r="B17" s="1" t="s">
        <v>9</v>
      </c>
      <c r="C17" s="3">
        <v>343.2</v>
      </c>
      <c r="D17">
        <v>5.5407580708780211</v>
      </c>
      <c r="E17">
        <v>337</v>
      </c>
      <c r="F17">
        <v>350</v>
      </c>
    </row>
    <row r="18" spans="1:8" x14ac:dyDescent="0.2">
      <c r="A18" s="21"/>
      <c r="B18" s="1" t="s">
        <v>10</v>
      </c>
      <c r="C18">
        <v>325.60000000000002</v>
      </c>
      <c r="D18">
        <v>22.19909908081857</v>
      </c>
      <c r="E18">
        <v>309</v>
      </c>
      <c r="F18" s="6">
        <v>361</v>
      </c>
      <c r="H18" t="s">
        <v>32</v>
      </c>
    </row>
    <row r="19" spans="1:8" x14ac:dyDescent="0.2">
      <c r="A19" s="21"/>
      <c r="B19" s="1" t="s">
        <v>11</v>
      </c>
      <c r="C19">
        <v>326.39999999999998</v>
      </c>
      <c r="D19">
        <v>20.935615586841479</v>
      </c>
      <c r="E19">
        <v>302</v>
      </c>
      <c r="F19" s="6">
        <v>354</v>
      </c>
    </row>
    <row r="20" spans="1:8" x14ac:dyDescent="0.2">
      <c r="A20" s="21"/>
      <c r="B20" s="1" t="s">
        <v>12</v>
      </c>
      <c r="C20" s="4">
        <v>341.8</v>
      </c>
      <c r="D20">
        <v>7.6615925237511853</v>
      </c>
      <c r="E20">
        <v>332</v>
      </c>
      <c r="F20">
        <v>353</v>
      </c>
    </row>
    <row r="21" spans="1:8" x14ac:dyDescent="0.2">
      <c r="A21" s="21" t="s">
        <v>14</v>
      </c>
      <c r="B21" s="1" t="s">
        <v>8</v>
      </c>
      <c r="C21" s="2">
        <v>444</v>
      </c>
      <c r="E21">
        <v>444</v>
      </c>
      <c r="F21">
        <v>444</v>
      </c>
    </row>
    <row r="22" spans="1:8" x14ac:dyDescent="0.2">
      <c r="A22" s="21"/>
      <c r="B22" s="1" t="s">
        <v>9</v>
      </c>
      <c r="C22" s="4">
        <v>454</v>
      </c>
      <c r="D22">
        <v>5.7445626465380233</v>
      </c>
      <c r="E22">
        <v>449</v>
      </c>
      <c r="F22">
        <v>463</v>
      </c>
    </row>
    <row r="23" spans="1:8" x14ac:dyDescent="0.2">
      <c r="A23" s="21"/>
      <c r="B23" s="1" t="s">
        <v>10</v>
      </c>
      <c r="C23">
        <v>422.2</v>
      </c>
      <c r="D23">
        <v>25.955731544304431</v>
      </c>
      <c r="E23">
        <v>397</v>
      </c>
      <c r="F23">
        <v>451</v>
      </c>
    </row>
    <row r="24" spans="1:8" x14ac:dyDescent="0.2">
      <c r="A24" s="21"/>
      <c r="B24" s="1" t="s">
        <v>11</v>
      </c>
      <c r="C24">
        <v>389.6</v>
      </c>
      <c r="D24">
        <v>7.7006493232713833</v>
      </c>
      <c r="E24">
        <v>380</v>
      </c>
      <c r="F24">
        <v>401</v>
      </c>
    </row>
    <row r="25" spans="1:8" x14ac:dyDescent="0.2">
      <c r="A25" s="21"/>
      <c r="B25" s="1" t="s">
        <v>12</v>
      </c>
      <c r="C25">
        <v>417.4</v>
      </c>
      <c r="D25">
        <v>12.361229712289949</v>
      </c>
      <c r="E25">
        <v>400</v>
      </c>
      <c r="F25">
        <v>434</v>
      </c>
    </row>
    <row r="26" spans="1:8" x14ac:dyDescent="0.2">
      <c r="A26" s="19" t="s">
        <v>17</v>
      </c>
      <c r="B26" s="1" t="s">
        <v>8</v>
      </c>
      <c r="C26" s="2">
        <v>453</v>
      </c>
      <c r="E26">
        <v>453</v>
      </c>
      <c r="F26">
        <v>453</v>
      </c>
    </row>
    <row r="27" spans="1:8" x14ac:dyDescent="0.2">
      <c r="A27" s="19"/>
      <c r="B27" s="1" t="s">
        <v>9</v>
      </c>
      <c r="C27">
        <v>474</v>
      </c>
      <c r="D27">
        <v>28.310775333784122</v>
      </c>
      <c r="E27">
        <v>448</v>
      </c>
      <c r="F27">
        <v>515</v>
      </c>
    </row>
    <row r="28" spans="1:8" x14ac:dyDescent="0.2">
      <c r="A28" s="19"/>
      <c r="B28" s="1" t="s">
        <v>10</v>
      </c>
      <c r="C28">
        <v>445.6</v>
      </c>
      <c r="D28">
        <v>17.70028248362156</v>
      </c>
      <c r="E28">
        <v>435</v>
      </c>
      <c r="F28">
        <v>477</v>
      </c>
    </row>
    <row r="29" spans="1:8" x14ac:dyDescent="0.2">
      <c r="A29" s="19"/>
      <c r="B29" s="1" t="s">
        <v>11</v>
      </c>
      <c r="C29" s="3">
        <v>451.6</v>
      </c>
      <c r="D29" s="10">
        <v>23.807561823924772</v>
      </c>
      <c r="E29" s="6">
        <v>417</v>
      </c>
      <c r="F29" s="6">
        <v>475</v>
      </c>
    </row>
    <row r="30" spans="1:8" x14ac:dyDescent="0.2">
      <c r="A30" s="19"/>
      <c r="B30" s="1" t="s">
        <v>12</v>
      </c>
      <c r="C30" s="4">
        <v>493</v>
      </c>
      <c r="D30" s="10">
        <v>28.416544476765651</v>
      </c>
      <c r="E30" s="6">
        <v>460</v>
      </c>
      <c r="F30" s="6">
        <v>535</v>
      </c>
    </row>
    <row r="31" spans="1:8" x14ac:dyDescent="0.2">
      <c r="A31" s="20" t="s">
        <v>18</v>
      </c>
      <c r="B31" s="1" t="s">
        <v>8</v>
      </c>
      <c r="C31" s="7">
        <v>622</v>
      </c>
      <c r="E31">
        <v>622</v>
      </c>
      <c r="F31">
        <v>622</v>
      </c>
    </row>
    <row r="32" spans="1:8" x14ac:dyDescent="0.2">
      <c r="A32" s="20"/>
      <c r="B32" s="1" t="s">
        <v>9</v>
      </c>
      <c r="C32">
        <v>576</v>
      </c>
      <c r="D32">
        <v>36.6537856162225</v>
      </c>
      <c r="E32">
        <v>518</v>
      </c>
      <c r="F32">
        <v>615</v>
      </c>
    </row>
    <row r="33" spans="1:22" x14ac:dyDescent="0.2">
      <c r="A33" s="20"/>
      <c r="B33" s="1" t="s">
        <v>10</v>
      </c>
      <c r="C33">
        <v>557.79999999999995</v>
      </c>
      <c r="D33">
        <v>30.061603416983591</v>
      </c>
      <c r="E33">
        <v>528</v>
      </c>
      <c r="F33">
        <v>598</v>
      </c>
    </row>
    <row r="34" spans="1:22" x14ac:dyDescent="0.2">
      <c r="A34" s="20"/>
      <c r="B34" s="1" t="s">
        <v>11</v>
      </c>
      <c r="C34">
        <v>550.4</v>
      </c>
      <c r="D34">
        <v>30.705048444840461</v>
      </c>
      <c r="E34">
        <v>506</v>
      </c>
      <c r="F34">
        <v>584</v>
      </c>
    </row>
    <row r="35" spans="1:22" x14ac:dyDescent="0.2">
      <c r="A35" s="20"/>
      <c r="B35" s="1" t="s">
        <v>12</v>
      </c>
      <c r="C35" s="4">
        <v>592.20000000000005</v>
      </c>
      <c r="D35">
        <v>23.857912733514642</v>
      </c>
      <c r="E35">
        <v>559</v>
      </c>
      <c r="F35">
        <v>620</v>
      </c>
    </row>
    <row r="36" spans="1:22" x14ac:dyDescent="0.2">
      <c r="A36" s="20" t="s">
        <v>20</v>
      </c>
      <c r="B36" s="1" t="s">
        <v>8</v>
      </c>
      <c r="C36" s="7">
        <v>414</v>
      </c>
      <c r="E36">
        <v>414</v>
      </c>
      <c r="F36">
        <v>414</v>
      </c>
    </row>
    <row r="37" spans="1:22" x14ac:dyDescent="0.2">
      <c r="A37" s="20"/>
      <c r="B37" s="1" t="s">
        <v>9</v>
      </c>
      <c r="C37">
        <v>330.6</v>
      </c>
      <c r="D37">
        <v>43.264303993014842</v>
      </c>
      <c r="E37">
        <v>286</v>
      </c>
      <c r="F37">
        <v>397</v>
      </c>
    </row>
    <row r="38" spans="1:22" x14ac:dyDescent="0.2">
      <c r="A38" s="20"/>
      <c r="B38" s="1" t="s">
        <v>10</v>
      </c>
      <c r="C38">
        <v>322.2</v>
      </c>
      <c r="D38">
        <v>39.764305601883713</v>
      </c>
      <c r="E38">
        <v>287</v>
      </c>
      <c r="F38">
        <v>383</v>
      </c>
    </row>
    <row r="39" spans="1:22" x14ac:dyDescent="0.2">
      <c r="A39" s="20"/>
      <c r="B39" s="1" t="s">
        <v>11</v>
      </c>
      <c r="C39">
        <v>289.2</v>
      </c>
      <c r="D39">
        <v>49.996999909994599</v>
      </c>
      <c r="E39">
        <v>235</v>
      </c>
      <c r="F39">
        <v>362</v>
      </c>
    </row>
    <row r="40" spans="1:22" x14ac:dyDescent="0.2">
      <c r="A40" s="20"/>
      <c r="B40" s="1" t="s">
        <v>12</v>
      </c>
      <c r="C40">
        <v>306.2</v>
      </c>
      <c r="D40">
        <v>40.84972460127485</v>
      </c>
      <c r="E40">
        <v>282</v>
      </c>
      <c r="F40">
        <v>379</v>
      </c>
    </row>
    <row r="41" spans="1:22" x14ac:dyDescent="0.2">
      <c r="A41" s="20" t="s">
        <v>21</v>
      </c>
      <c r="B41" s="1" t="s">
        <v>8</v>
      </c>
      <c r="C41" s="7">
        <v>536</v>
      </c>
      <c r="E41">
        <v>536</v>
      </c>
      <c r="F41">
        <v>536</v>
      </c>
    </row>
    <row r="42" spans="1:22" x14ac:dyDescent="0.2">
      <c r="A42" s="20"/>
      <c r="B42" s="1" t="s">
        <v>9</v>
      </c>
      <c r="C42">
        <v>442.4</v>
      </c>
      <c r="D42">
        <v>38.174598884598637</v>
      </c>
      <c r="E42">
        <v>384</v>
      </c>
      <c r="F42">
        <v>483</v>
      </c>
    </row>
    <row r="43" spans="1:22" x14ac:dyDescent="0.2">
      <c r="A43" s="20"/>
      <c r="B43" s="1" t="s">
        <v>10</v>
      </c>
      <c r="C43">
        <v>434.8</v>
      </c>
      <c r="D43">
        <v>47.725255368620083</v>
      </c>
      <c r="E43">
        <v>374</v>
      </c>
      <c r="F43">
        <v>476</v>
      </c>
    </row>
    <row r="44" spans="1:22" x14ac:dyDescent="0.2">
      <c r="A44" s="20"/>
      <c r="B44" s="1" t="s">
        <v>11</v>
      </c>
      <c r="C44">
        <v>401.4</v>
      </c>
      <c r="D44">
        <v>54.820616559830853</v>
      </c>
      <c r="E44">
        <v>347</v>
      </c>
      <c r="F44">
        <v>479</v>
      </c>
    </row>
    <row r="45" spans="1:22" x14ac:dyDescent="0.2">
      <c r="A45" s="20"/>
      <c r="B45" s="1" t="s">
        <v>12</v>
      </c>
      <c r="C45">
        <v>405.4</v>
      </c>
      <c r="D45">
        <v>52.233131248279562</v>
      </c>
      <c r="E45">
        <v>348</v>
      </c>
      <c r="F45">
        <v>463</v>
      </c>
    </row>
    <row r="46" spans="1:22" x14ac:dyDescent="0.2">
      <c r="A46" s="19" t="s">
        <v>23</v>
      </c>
      <c r="B46" s="1" t="s">
        <v>8</v>
      </c>
      <c r="C46">
        <v>303</v>
      </c>
      <c r="E46">
        <v>303</v>
      </c>
      <c r="F46">
        <v>303</v>
      </c>
      <c r="G46">
        <v>2.0115189552307129</v>
      </c>
      <c r="I46">
        <v>2.0115189552307129</v>
      </c>
      <c r="J46">
        <v>2.0115189552307129</v>
      </c>
      <c r="K46">
        <v>99.621165057908925</v>
      </c>
      <c r="M46">
        <v>99.621165057908925</v>
      </c>
      <c r="N46">
        <v>99.621165057908925</v>
      </c>
    </row>
    <row r="47" spans="1:22" x14ac:dyDescent="0.2">
      <c r="A47" s="19"/>
      <c r="B47" s="14" t="s">
        <v>9</v>
      </c>
      <c r="C47">
        <v>433.4</v>
      </c>
      <c r="D47">
        <v>32.315630892804812</v>
      </c>
      <c r="E47">
        <v>395</v>
      </c>
      <c r="F47">
        <v>473</v>
      </c>
      <c r="G47">
        <v>8.4886989116668694</v>
      </c>
      <c r="H47">
        <v>0.29076145233050299</v>
      </c>
      <c r="I47">
        <v>7.9804027080535889</v>
      </c>
      <c r="J47">
        <v>8.7150270938873291</v>
      </c>
      <c r="K47">
        <v>99.083261120685236</v>
      </c>
      <c r="L47">
        <v>0.39179018615642902</v>
      </c>
      <c r="M47">
        <v>98.639610306789265</v>
      </c>
      <c r="N47">
        <v>99.497474683058343</v>
      </c>
      <c r="O47">
        <v>45211.8</v>
      </c>
      <c r="P47">
        <v>7956.7748302939935</v>
      </c>
      <c r="Q47">
        <v>31203</v>
      </c>
      <c r="R47">
        <v>49848</v>
      </c>
      <c r="S47">
        <v>0.90423600000000004</v>
      </c>
      <c r="T47">
        <v>0.15913549660587981</v>
      </c>
      <c r="U47">
        <v>0.62406000000000006</v>
      </c>
      <c r="V47">
        <v>0.99695999999999996</v>
      </c>
    </row>
    <row r="48" spans="1:22" x14ac:dyDescent="0.2">
      <c r="A48" s="19"/>
      <c r="B48" s="1" t="s">
        <v>10</v>
      </c>
      <c r="C48">
        <v>349.2</v>
      </c>
      <c r="D48">
        <v>11.344602240713421</v>
      </c>
      <c r="E48">
        <v>338</v>
      </c>
      <c r="F48">
        <v>365</v>
      </c>
      <c r="G48">
        <v>2.042593812942505</v>
      </c>
      <c r="H48">
        <v>8.1485932462665292E-2</v>
      </c>
      <c r="I48">
        <v>1.937538623809814</v>
      </c>
      <c r="J48">
        <v>2.1535623073577881</v>
      </c>
      <c r="K48">
        <v>99.23520916159049</v>
      </c>
      <c r="L48">
        <v>0.42470664289121618</v>
      </c>
      <c r="M48">
        <v>98.521163953680173</v>
      </c>
      <c r="N48">
        <v>99.66498312203889</v>
      </c>
    </row>
    <row r="49" spans="1:22" x14ac:dyDescent="0.2">
      <c r="A49" s="19"/>
      <c r="B49" s="1" t="s">
        <v>11</v>
      </c>
      <c r="C49">
        <v>328.2</v>
      </c>
      <c r="D49">
        <v>14.30734077318354</v>
      </c>
      <c r="E49">
        <v>304</v>
      </c>
      <c r="F49">
        <v>341</v>
      </c>
      <c r="G49">
        <v>10.9322142124176</v>
      </c>
      <c r="H49">
        <v>0.41985823894124658</v>
      </c>
      <c r="I49">
        <v>10.38349318504333</v>
      </c>
      <c r="J49">
        <v>11.51608777046204</v>
      </c>
      <c r="K49">
        <v>99.396969619670017</v>
      </c>
      <c r="L49">
        <v>0.14982410254615131</v>
      </c>
      <c r="M49">
        <v>99.329966244077795</v>
      </c>
      <c r="N49">
        <v>99.66498312203889</v>
      </c>
      <c r="O49">
        <v>43068.4</v>
      </c>
      <c r="P49">
        <v>2427.3581935923671</v>
      </c>
      <c r="Q49">
        <v>38914</v>
      </c>
      <c r="R49">
        <v>44987</v>
      </c>
      <c r="S49">
        <v>0.86136800000000002</v>
      </c>
      <c r="T49">
        <v>4.8547163871847349E-2</v>
      </c>
      <c r="U49">
        <v>0.77827999999999997</v>
      </c>
      <c r="V49">
        <v>0.89973999999999998</v>
      </c>
    </row>
    <row r="50" spans="1:22" x14ac:dyDescent="0.2">
      <c r="A50" s="19" t="s">
        <v>28</v>
      </c>
      <c r="B50" s="1" t="s">
        <v>12</v>
      </c>
      <c r="C50">
        <v>372.2</v>
      </c>
      <c r="D50">
        <v>17.108477430794359</v>
      </c>
      <c r="E50">
        <v>358</v>
      </c>
      <c r="F50">
        <v>395</v>
      </c>
      <c r="G50">
        <v>13.292735004425049</v>
      </c>
      <c r="H50">
        <v>0.49452774098687058</v>
      </c>
      <c r="I50">
        <v>12.802443981170651</v>
      </c>
      <c r="J50">
        <v>13.975799322128299</v>
      </c>
      <c r="K50">
        <v>99.045694996615879</v>
      </c>
      <c r="L50">
        <v>0.5816392381262494</v>
      </c>
      <c r="M50">
        <v>98.521163953680173</v>
      </c>
      <c r="N50">
        <v>99.66498312203889</v>
      </c>
    </row>
    <row r="51" spans="1:22" x14ac:dyDescent="0.2">
      <c r="A51" s="19"/>
      <c r="B51" s="1" t="s">
        <v>8</v>
      </c>
      <c r="C51">
        <v>348</v>
      </c>
      <c r="E51">
        <v>348</v>
      </c>
      <c r="F51">
        <v>348</v>
      </c>
      <c r="G51">
        <v>2.010546207427979</v>
      </c>
      <c r="I51">
        <v>2.010546207427979</v>
      </c>
      <c r="J51">
        <v>2.010546207427979</v>
      </c>
      <c r="K51">
        <v>100</v>
      </c>
      <c r="M51">
        <v>100</v>
      </c>
      <c r="N51">
        <v>100</v>
      </c>
    </row>
    <row r="52" spans="1:22" x14ac:dyDescent="0.2">
      <c r="A52" s="19"/>
      <c r="B52" s="14" t="s">
        <v>9</v>
      </c>
      <c r="C52">
        <v>337.2</v>
      </c>
      <c r="D52">
        <v>20.425474290698851</v>
      </c>
      <c r="E52">
        <v>315</v>
      </c>
      <c r="F52">
        <v>364</v>
      </c>
      <c r="G52">
        <v>5.968729782104492</v>
      </c>
      <c r="H52">
        <v>0.81142093741931975</v>
      </c>
      <c r="I52">
        <v>4.8741962909698486</v>
      </c>
      <c r="J52">
        <v>6.7957751750946036</v>
      </c>
      <c r="K52">
        <v>98.911688245431449</v>
      </c>
      <c r="L52">
        <v>0.54770825322842309</v>
      </c>
      <c r="M52">
        <v>98.521163953680173</v>
      </c>
      <c r="N52">
        <v>99.66498312203889</v>
      </c>
      <c r="O52">
        <v>28289.8</v>
      </c>
      <c r="P52">
        <v>18819.37859494835</v>
      </c>
      <c r="Q52">
        <v>0</v>
      </c>
      <c r="R52">
        <v>49489</v>
      </c>
      <c r="S52">
        <v>0.56579599999999997</v>
      </c>
      <c r="T52">
        <v>0.37638757189896688</v>
      </c>
      <c r="U52">
        <v>0</v>
      </c>
      <c r="V52">
        <v>0.98977999999999999</v>
      </c>
    </row>
    <row r="53" spans="1:22" x14ac:dyDescent="0.2">
      <c r="A53" s="19"/>
      <c r="B53" s="1" t="s">
        <v>10</v>
      </c>
      <c r="C53">
        <v>421.8</v>
      </c>
      <c r="D53">
        <v>14.37706506906051</v>
      </c>
      <c r="E53">
        <v>409</v>
      </c>
      <c r="F53">
        <v>445</v>
      </c>
      <c r="G53">
        <v>2.4749284744262701</v>
      </c>
      <c r="H53">
        <v>0.1293654713889798</v>
      </c>
      <c r="I53">
        <v>2.3787322044372559</v>
      </c>
      <c r="J53">
        <v>2.6946332454681401</v>
      </c>
      <c r="K53">
        <v>99.254833995939052</v>
      </c>
      <c r="L53">
        <v>0.33224944425946762</v>
      </c>
      <c r="M53">
        <v>98.890872965260115</v>
      </c>
      <c r="N53">
        <v>99.497474683058343</v>
      </c>
    </row>
    <row r="54" spans="1:22" x14ac:dyDescent="0.2">
      <c r="B54" s="1" t="s">
        <v>11</v>
      </c>
      <c r="C54">
        <v>437.2</v>
      </c>
      <c r="D54">
        <v>19.395875850293539</v>
      </c>
      <c r="E54">
        <v>423</v>
      </c>
      <c r="F54">
        <v>471</v>
      </c>
      <c r="G54">
        <v>14.2135486125946</v>
      </c>
      <c r="H54">
        <v>0.82753743350749931</v>
      </c>
      <c r="I54">
        <v>13.5012800693512</v>
      </c>
      <c r="J54">
        <v>15.490762710571291</v>
      </c>
      <c r="K54">
        <v>99.376154339498683</v>
      </c>
      <c r="L54">
        <v>0.27128053525298362</v>
      </c>
      <c r="M54">
        <v>98.890872965260115</v>
      </c>
      <c r="N54">
        <v>99.497474683058314</v>
      </c>
      <c r="O54">
        <v>41744.800000000003</v>
      </c>
      <c r="P54">
        <v>1705.4866460925459</v>
      </c>
      <c r="Q54">
        <v>38982</v>
      </c>
      <c r="R54">
        <v>43571</v>
      </c>
      <c r="S54">
        <v>0.83489599999999997</v>
      </c>
      <c r="T54">
        <v>3.4109732921850877E-2</v>
      </c>
      <c r="U54">
        <v>0.77964</v>
      </c>
      <c r="V54">
        <v>0.87141999999999997</v>
      </c>
    </row>
    <row r="55" spans="1:22" x14ac:dyDescent="0.2">
      <c r="B55" s="1" t="s">
        <v>12</v>
      </c>
      <c r="C55">
        <v>441.6</v>
      </c>
      <c r="D55">
        <v>7.7006493232713753</v>
      </c>
      <c r="E55">
        <v>430</v>
      </c>
      <c r="F55">
        <v>450</v>
      </c>
      <c r="G55">
        <v>15.86496777534485</v>
      </c>
      <c r="H55">
        <v>0.27356244209735892</v>
      </c>
      <c r="I55">
        <v>15.63900184631348</v>
      </c>
      <c r="J55">
        <v>16.302419662475589</v>
      </c>
      <c r="K55">
        <v>99.376154339498683</v>
      </c>
      <c r="L55">
        <v>0.27128053525298612</v>
      </c>
      <c r="M55">
        <v>98.890872965260115</v>
      </c>
      <c r="N55">
        <v>99.497474683058314</v>
      </c>
    </row>
  </sheetData>
  <mergeCells count="15">
    <mergeCell ref="A41:A45"/>
    <mergeCell ref="A46:A49"/>
    <mergeCell ref="A50:A53"/>
    <mergeCell ref="G3:J3"/>
    <mergeCell ref="C3:F3"/>
    <mergeCell ref="A6:A10"/>
    <mergeCell ref="A11:A15"/>
    <mergeCell ref="A16:A20"/>
    <mergeCell ref="A21:A25"/>
    <mergeCell ref="A26:A30"/>
    <mergeCell ref="K3:N3"/>
    <mergeCell ref="O3:R3"/>
    <mergeCell ref="S3:V3"/>
    <mergeCell ref="A31:A35"/>
    <mergeCell ref="A36:A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E34A-0472-4CC3-8683-488EBE5AEA7F}">
  <dimension ref="A1:V33"/>
  <sheetViews>
    <sheetView tabSelected="1" zoomScale="125" workbookViewId="0">
      <selection activeCell="D39" sqref="D39"/>
    </sheetView>
  </sheetViews>
  <sheetFormatPr baseColWidth="10" defaultColWidth="8.83203125" defaultRowHeight="15" x14ac:dyDescent="0.2"/>
  <cols>
    <col min="1" max="1" width="22.5" bestFit="1" customWidth="1"/>
    <col min="2" max="2" width="11.5" bestFit="1" customWidth="1"/>
  </cols>
  <sheetData>
    <row r="1" spans="1:22" x14ac:dyDescent="0.2">
      <c r="A1" t="s">
        <v>31</v>
      </c>
    </row>
    <row r="3" spans="1:22" x14ac:dyDescent="0.2">
      <c r="B3" s="1"/>
      <c r="C3" s="18" t="s">
        <v>0</v>
      </c>
      <c r="D3" s="18"/>
      <c r="E3" s="18"/>
      <c r="F3" s="18"/>
      <c r="G3" s="18" t="s">
        <v>37</v>
      </c>
      <c r="H3" s="18"/>
      <c r="I3" s="18"/>
      <c r="J3" s="18"/>
      <c r="K3" s="18" t="s">
        <v>38</v>
      </c>
      <c r="L3" s="18"/>
      <c r="M3" s="18"/>
      <c r="N3" s="18"/>
      <c r="O3" s="18" t="s">
        <v>39</v>
      </c>
      <c r="P3" s="18"/>
      <c r="Q3" s="18"/>
      <c r="R3" s="18"/>
      <c r="S3" s="18" t="s">
        <v>40</v>
      </c>
      <c r="T3" s="18"/>
      <c r="U3" s="18"/>
      <c r="V3" s="18"/>
    </row>
    <row r="4" spans="1:22" x14ac:dyDescent="0.2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1</v>
      </c>
      <c r="H4" s="1" t="s">
        <v>2</v>
      </c>
      <c r="I4" s="1" t="s">
        <v>3</v>
      </c>
      <c r="J4" s="1" t="s">
        <v>4</v>
      </c>
      <c r="K4" s="1" t="s">
        <v>1</v>
      </c>
      <c r="L4" s="1" t="s">
        <v>2</v>
      </c>
      <c r="M4" s="1" t="s">
        <v>3</v>
      </c>
      <c r="N4" s="1" t="s">
        <v>4</v>
      </c>
      <c r="O4" s="1" t="s">
        <v>1</v>
      </c>
      <c r="P4" s="1" t="s">
        <v>2</v>
      </c>
      <c r="Q4" s="1" t="s">
        <v>3</v>
      </c>
      <c r="R4" s="1" t="s">
        <v>4</v>
      </c>
      <c r="S4" s="1" t="s">
        <v>1</v>
      </c>
      <c r="T4" s="1" t="s">
        <v>2</v>
      </c>
      <c r="U4" s="1" t="s">
        <v>3</v>
      </c>
      <c r="V4" s="1" t="s">
        <v>4</v>
      </c>
    </row>
    <row r="5" spans="1:22" x14ac:dyDescent="0.2">
      <c r="A5" s="1" t="s">
        <v>5</v>
      </c>
      <c r="B5" s="1" t="s">
        <v>6</v>
      </c>
    </row>
    <row r="6" spans="1:22" x14ac:dyDescent="0.2">
      <c r="A6" s="20" t="s">
        <v>33</v>
      </c>
      <c r="B6" s="1" t="s">
        <v>8</v>
      </c>
      <c r="C6" s="7">
        <v>1220</v>
      </c>
      <c r="E6">
        <v>1220</v>
      </c>
      <c r="F6">
        <v>1220</v>
      </c>
      <c r="G6">
        <v>3.7309708595275879</v>
      </c>
      <c r="I6">
        <v>3.7309708595275879</v>
      </c>
      <c r="J6">
        <v>3.7309708595275879</v>
      </c>
      <c r="K6">
        <v>100</v>
      </c>
      <c r="M6">
        <v>100</v>
      </c>
      <c r="N6">
        <v>100</v>
      </c>
    </row>
    <row r="7" spans="1:22" x14ac:dyDescent="0.2">
      <c r="A7" s="20"/>
      <c r="B7" s="1" t="s">
        <v>9</v>
      </c>
      <c r="C7">
        <v>1107.5999999999999</v>
      </c>
      <c r="D7">
        <v>23.543576618687329</v>
      </c>
      <c r="E7">
        <v>1079</v>
      </c>
      <c r="F7">
        <v>1132</v>
      </c>
      <c r="G7">
        <v>34.728247737884523</v>
      </c>
      <c r="H7">
        <v>0.94078282635865174</v>
      </c>
      <c r="I7">
        <v>33.39442253112793</v>
      </c>
      <c r="J7">
        <v>35.671040534973137</v>
      </c>
      <c r="K7">
        <v>99.666683758928428</v>
      </c>
      <c r="L7">
        <v>0.21114599667222761</v>
      </c>
      <c r="M7">
        <v>99.401755575069373</v>
      </c>
      <c r="N7">
        <v>99.97947149678194</v>
      </c>
      <c r="O7">
        <v>99289.2</v>
      </c>
      <c r="P7">
        <v>573.91262401170616</v>
      </c>
      <c r="Q7">
        <v>98451</v>
      </c>
      <c r="R7">
        <v>99913</v>
      </c>
      <c r="S7">
        <v>0.99289249563743043</v>
      </c>
      <c r="T7">
        <v>5.7387786017441536E-3</v>
      </c>
      <c r="U7">
        <v>0.98451093311311044</v>
      </c>
      <c r="V7">
        <v>0.99913006959443251</v>
      </c>
    </row>
    <row r="8" spans="1:22" x14ac:dyDescent="0.2">
      <c r="A8" s="20"/>
      <c r="B8" s="1" t="s">
        <v>10</v>
      </c>
      <c r="C8">
        <v>1003.5</v>
      </c>
      <c r="D8">
        <v>7.9372539331937739</v>
      </c>
      <c r="E8">
        <v>996</v>
      </c>
      <c r="F8">
        <v>1013</v>
      </c>
      <c r="G8">
        <v>7.3043125867843628</v>
      </c>
      <c r="H8">
        <v>0.27078587796176662</v>
      </c>
      <c r="I8">
        <v>7.0690782070159912</v>
      </c>
      <c r="J8">
        <v>7.659520149230957</v>
      </c>
      <c r="K8">
        <v>99.859822611795806</v>
      </c>
      <c r="L8">
        <v>0</v>
      </c>
      <c r="M8">
        <v>99.859822611795806</v>
      </c>
      <c r="N8">
        <v>99.859822611795806</v>
      </c>
    </row>
    <row r="9" spans="1:22" x14ac:dyDescent="0.2">
      <c r="A9" s="20"/>
      <c r="B9" s="1" t="s">
        <v>11</v>
      </c>
      <c r="C9">
        <v>1020.2</v>
      </c>
      <c r="D9" s="10">
        <v>23.70021096952517</v>
      </c>
      <c r="E9">
        <v>1003</v>
      </c>
      <c r="F9">
        <v>1062</v>
      </c>
      <c r="G9">
        <v>43.197508430480958</v>
      </c>
      <c r="H9">
        <v>3.7255837028210061</v>
      </c>
      <c r="I9">
        <v>38.572652578353882</v>
      </c>
      <c r="J9">
        <v>48.984535217285163</v>
      </c>
      <c r="K9">
        <v>99.883752388793027</v>
      </c>
      <c r="L9">
        <v>5.35086080521971E-2</v>
      </c>
      <c r="M9">
        <v>99.859822611795806</v>
      </c>
      <c r="N9">
        <v>99.979471496781912</v>
      </c>
      <c r="O9">
        <v>95397.8</v>
      </c>
      <c r="P9">
        <v>3906.083678059138</v>
      </c>
      <c r="Q9">
        <v>88493</v>
      </c>
      <c r="R9">
        <v>98156</v>
      </c>
      <c r="S9">
        <v>0.97040197614624046</v>
      </c>
      <c r="T9">
        <v>6.2750783015303466E-3</v>
      </c>
      <c r="U9">
        <v>0.96687006909122053</v>
      </c>
      <c r="V9">
        <v>0.98155994514318612</v>
      </c>
    </row>
    <row r="10" spans="1:22" x14ac:dyDescent="0.2">
      <c r="A10" s="20"/>
      <c r="B10" s="1" t="s">
        <v>12</v>
      </c>
      <c r="C10" s="4">
        <v>1140.8</v>
      </c>
      <c r="D10" s="10">
        <v>30.351276744150301</v>
      </c>
      <c r="E10">
        <v>1091</v>
      </c>
      <c r="F10" s="6">
        <v>1165</v>
      </c>
      <c r="G10">
        <v>59.83351917266846</v>
      </c>
      <c r="H10">
        <v>2.8164001671828549</v>
      </c>
      <c r="I10">
        <v>56.787107706069953</v>
      </c>
      <c r="J10">
        <v>63.788259983062737</v>
      </c>
      <c r="K10">
        <v>99.69061353592565</v>
      </c>
      <c r="L10">
        <v>0.28885796085628229</v>
      </c>
      <c r="M10">
        <v>99.401755575069345</v>
      </c>
      <c r="N10">
        <v>99.97947149678194</v>
      </c>
    </row>
    <row r="11" spans="1:22" x14ac:dyDescent="0.2">
      <c r="A11" s="19" t="s">
        <v>34</v>
      </c>
      <c r="B11" s="1" t="s">
        <v>8</v>
      </c>
      <c r="C11" s="7">
        <v>1335</v>
      </c>
      <c r="E11">
        <v>1335</v>
      </c>
      <c r="F11">
        <v>1335</v>
      </c>
      <c r="G11">
        <v>4.7381353378295898</v>
      </c>
      <c r="I11">
        <v>4.7381353378295898</v>
      </c>
      <c r="J11">
        <v>4.7381353378295898</v>
      </c>
      <c r="K11">
        <v>99.815513037361498</v>
      </c>
      <c r="M11">
        <v>99.815513037361498</v>
      </c>
      <c r="N11">
        <v>99.815513037361498</v>
      </c>
    </row>
    <row r="12" spans="1:22" x14ac:dyDescent="0.2">
      <c r="A12" s="19"/>
      <c r="B12" s="1" t="s">
        <v>9</v>
      </c>
      <c r="C12">
        <v>1194.8</v>
      </c>
      <c r="D12">
        <v>47.73049339782694</v>
      </c>
      <c r="E12">
        <v>1115</v>
      </c>
      <c r="F12">
        <v>1231</v>
      </c>
      <c r="G12">
        <v>38.901602602005013</v>
      </c>
      <c r="H12">
        <v>2.2528679831595189</v>
      </c>
      <c r="I12">
        <v>35.83539891242981</v>
      </c>
      <c r="J12">
        <v>41.034689664840698</v>
      </c>
      <c r="K12">
        <v>99.670995585502823</v>
      </c>
      <c r="L12">
        <v>0.25066405096359612</v>
      </c>
      <c r="M12">
        <v>99.383233194830979</v>
      </c>
      <c r="N12">
        <v>99.949805167498852</v>
      </c>
      <c r="O12">
        <v>98723.4</v>
      </c>
      <c r="P12">
        <v>764.57099081772549</v>
      </c>
      <c r="Q12">
        <v>97928</v>
      </c>
      <c r="R12">
        <v>99568</v>
      </c>
      <c r="S12">
        <v>0.98723463025394076</v>
      </c>
      <c r="T12">
        <v>7.6454653330533372E-3</v>
      </c>
      <c r="U12">
        <v>0.97928081150123847</v>
      </c>
      <c r="V12">
        <v>0.9956803455723543</v>
      </c>
    </row>
    <row r="13" spans="1:22" x14ac:dyDescent="0.2">
      <c r="A13" s="19"/>
      <c r="B13" s="1" t="s">
        <v>10</v>
      </c>
      <c r="C13">
        <v>1082.4000000000001</v>
      </c>
      <c r="D13">
        <v>13.90323703315169</v>
      </c>
      <c r="E13">
        <v>1061</v>
      </c>
      <c r="F13">
        <v>1098</v>
      </c>
      <c r="G13">
        <v>8.0631880760192871</v>
      </c>
      <c r="H13">
        <v>0.2009896513001134</v>
      </c>
      <c r="I13">
        <v>7.8727531433105469</v>
      </c>
      <c r="J13">
        <v>8.3108222484588623</v>
      </c>
      <c r="K13">
        <v>99.897624374569972</v>
      </c>
      <c r="L13">
        <v>0.1166798001088146</v>
      </c>
      <c r="M13">
        <v>99.688901202854453</v>
      </c>
      <c r="N13">
        <v>99.949805167498852</v>
      </c>
    </row>
    <row r="14" spans="1:22" x14ac:dyDescent="0.2">
      <c r="A14" s="19"/>
      <c r="B14" s="1" t="s">
        <v>11</v>
      </c>
      <c r="C14">
        <v>1066.5999999999999</v>
      </c>
      <c r="D14">
        <v>20.70748656887163</v>
      </c>
      <c r="E14">
        <v>1034</v>
      </c>
      <c r="F14">
        <v>1086</v>
      </c>
      <c r="G14">
        <v>47.414732837677001</v>
      </c>
      <c r="H14">
        <v>2.375310511542168</v>
      </c>
      <c r="I14">
        <v>43.973696947097778</v>
      </c>
      <c r="J14">
        <v>50.431108713150017</v>
      </c>
      <c r="K14">
        <v>99.949805167498852</v>
      </c>
      <c r="L14">
        <v>0</v>
      </c>
      <c r="M14">
        <v>99.949805167498852</v>
      </c>
      <c r="N14">
        <v>99.949805167498852</v>
      </c>
      <c r="O14">
        <v>77216.399999999994</v>
      </c>
      <c r="P14">
        <v>42973.395994498736</v>
      </c>
      <c r="Q14">
        <v>355</v>
      </c>
      <c r="R14">
        <v>97414</v>
      </c>
      <c r="S14">
        <v>0.77216406246842628</v>
      </c>
      <c r="T14">
        <v>0.4297341564283873</v>
      </c>
      <c r="U14">
        <v>3.5497160227181829E-3</v>
      </c>
      <c r="V14">
        <v>0.9741402003092362</v>
      </c>
    </row>
    <row r="15" spans="1:22" x14ac:dyDescent="0.2">
      <c r="A15" s="19"/>
      <c r="B15" s="1" t="s">
        <v>12</v>
      </c>
      <c r="C15" s="4">
        <v>1223.5999999999999</v>
      </c>
      <c r="D15">
        <v>15.50161281931654</v>
      </c>
      <c r="E15">
        <v>1208</v>
      </c>
      <c r="F15">
        <v>1246</v>
      </c>
      <c r="G15">
        <v>65.41713910102844</v>
      </c>
      <c r="H15">
        <v>2.0464230314334628</v>
      </c>
      <c r="I15">
        <v>63.119658946990967</v>
      </c>
      <c r="J15">
        <v>68.321601152420044</v>
      </c>
      <c r="K15">
        <v>99.766404362684767</v>
      </c>
      <c r="L15">
        <v>0.1370021428681307</v>
      </c>
      <c r="M15">
        <v>99.53606719884273</v>
      </c>
      <c r="N15">
        <v>99.905041124119734</v>
      </c>
    </row>
    <row r="16" spans="1:22" x14ac:dyDescent="0.2">
      <c r="A16" s="20" t="s">
        <v>35</v>
      </c>
      <c r="B16" s="1" t="s">
        <v>8</v>
      </c>
      <c r="C16" s="7">
        <v>1418</v>
      </c>
      <c r="E16">
        <v>1418</v>
      </c>
      <c r="F16">
        <v>1418</v>
      </c>
      <c r="G16">
        <v>4.8826541900634766</v>
      </c>
      <c r="I16">
        <v>4.8826541900634766</v>
      </c>
      <c r="J16">
        <v>4.8826541900634766</v>
      </c>
      <c r="K16">
        <v>99.402258737115403</v>
      </c>
      <c r="M16">
        <v>99.402258737115403</v>
      </c>
      <c r="N16">
        <v>99.402258737115403</v>
      </c>
    </row>
    <row r="17" spans="1:22" x14ac:dyDescent="0.2">
      <c r="A17" s="20"/>
      <c r="B17" s="1" t="s">
        <v>9</v>
      </c>
      <c r="C17" s="3">
        <v>1271.2</v>
      </c>
      <c r="D17" s="10">
        <v>57.56474615595905</v>
      </c>
      <c r="E17">
        <v>1172</v>
      </c>
      <c r="F17">
        <v>1320</v>
      </c>
      <c r="G17">
        <v>42.668295431137082</v>
      </c>
      <c r="H17">
        <v>1.9112913025003111</v>
      </c>
      <c r="I17">
        <v>40.414850234985352</v>
      </c>
      <c r="J17">
        <v>44.920749664306641</v>
      </c>
      <c r="K17">
        <v>99.702285160092586</v>
      </c>
      <c r="L17">
        <v>0.18718599692217591</v>
      </c>
      <c r="M17">
        <v>99.487219064345183</v>
      </c>
      <c r="N17">
        <v>99.982404140098794</v>
      </c>
      <c r="O17">
        <v>98747.8</v>
      </c>
      <c r="P17">
        <v>622.61440715743083</v>
      </c>
      <c r="Q17">
        <v>97955</v>
      </c>
      <c r="R17">
        <v>99627</v>
      </c>
      <c r="S17">
        <v>0.98747866185345745</v>
      </c>
      <c r="T17">
        <v>6.2259978961425782E-3</v>
      </c>
      <c r="U17">
        <v>0.97955066390800571</v>
      </c>
      <c r="V17">
        <v>0.9962702983761299</v>
      </c>
    </row>
    <row r="18" spans="1:22" x14ac:dyDescent="0.2">
      <c r="A18" s="20"/>
      <c r="B18" s="1" t="s">
        <v>10</v>
      </c>
      <c r="C18">
        <v>1143</v>
      </c>
      <c r="D18">
        <v>8.755950357709164</v>
      </c>
      <c r="E18">
        <v>1135</v>
      </c>
      <c r="F18">
        <v>1152</v>
      </c>
      <c r="G18">
        <v>8.7277367115020752</v>
      </c>
      <c r="H18">
        <v>0.13632354843787439</v>
      </c>
      <c r="I18">
        <v>8.6101114749908447</v>
      </c>
      <c r="J18">
        <v>8.8771059513092041</v>
      </c>
      <c r="K18">
        <v>99.77729176583685</v>
      </c>
      <c r="L18">
        <v>0</v>
      </c>
      <c r="M18">
        <v>99.77729176583685</v>
      </c>
      <c r="N18">
        <v>99.77729176583685</v>
      </c>
    </row>
    <row r="19" spans="1:22" x14ac:dyDescent="0.2">
      <c r="A19" s="20"/>
      <c r="B19" s="1" t="s">
        <v>11</v>
      </c>
      <c r="C19">
        <v>1142.75</v>
      </c>
      <c r="D19">
        <v>18.154430129677269</v>
      </c>
      <c r="E19">
        <v>1116</v>
      </c>
      <c r="F19">
        <v>1155</v>
      </c>
      <c r="G19">
        <v>51.470862030982971</v>
      </c>
      <c r="H19">
        <v>5.6862766225305572</v>
      </c>
      <c r="I19">
        <v>46.115494012832642</v>
      </c>
      <c r="J19">
        <v>59.478431701660163</v>
      </c>
      <c r="K19">
        <v>99.77729176583685</v>
      </c>
      <c r="L19">
        <v>1.6409281590473081E-14</v>
      </c>
      <c r="M19">
        <v>99.77729176583685</v>
      </c>
      <c r="N19">
        <v>99.777291765836878</v>
      </c>
      <c r="O19">
        <v>95121.5</v>
      </c>
      <c r="P19">
        <v>4188.8687812662092</v>
      </c>
      <c r="Q19">
        <v>88868</v>
      </c>
      <c r="R19">
        <v>97736</v>
      </c>
      <c r="S19">
        <v>0.97093482240389117</v>
      </c>
      <c r="T19">
        <v>4.6551928503634991E-3</v>
      </c>
      <c r="U19">
        <v>0.96744999149618016</v>
      </c>
      <c r="V19">
        <v>0.9773601083232194</v>
      </c>
    </row>
    <row r="20" spans="1:22" x14ac:dyDescent="0.2">
      <c r="A20" s="20"/>
      <c r="B20" s="1" t="s">
        <v>12</v>
      </c>
      <c r="C20" s="4">
        <v>1273.4000000000001</v>
      </c>
      <c r="D20" s="10">
        <v>32.439173848912979</v>
      </c>
      <c r="E20">
        <v>1229</v>
      </c>
      <c r="F20">
        <v>1319</v>
      </c>
      <c r="G20">
        <v>68.339952564239496</v>
      </c>
      <c r="H20">
        <v>4.0518669270645136</v>
      </c>
      <c r="I20">
        <v>63.055685043334961</v>
      </c>
      <c r="J20">
        <v>74.072880029678345</v>
      </c>
      <c r="K20">
        <v>99.731292430241737</v>
      </c>
      <c r="L20">
        <v>0.15378395626041411</v>
      </c>
      <c r="M20">
        <v>99.529699227960037</v>
      </c>
      <c r="N20">
        <v>99.879847952967822</v>
      </c>
    </row>
    <row r="21" spans="1:22" x14ac:dyDescent="0.2">
      <c r="A21" s="20" t="s">
        <v>36</v>
      </c>
      <c r="B21" s="1" t="s">
        <v>8</v>
      </c>
      <c r="C21" s="7">
        <v>1546</v>
      </c>
      <c r="E21">
        <v>1546</v>
      </c>
      <c r="F21">
        <v>1546</v>
      </c>
      <c r="G21">
        <v>6.4800376892089844</v>
      </c>
      <c r="I21">
        <v>6.4800376892089844</v>
      </c>
      <c r="J21">
        <v>6.4800376892089844</v>
      </c>
      <c r="K21">
        <v>100</v>
      </c>
      <c r="M21">
        <v>100</v>
      </c>
      <c r="N21">
        <v>100</v>
      </c>
    </row>
    <row r="22" spans="1:22" x14ac:dyDescent="0.2">
      <c r="A22" s="20"/>
      <c r="B22" s="1" t="s">
        <v>9</v>
      </c>
      <c r="C22" s="3">
        <v>1378.2</v>
      </c>
      <c r="D22">
        <v>88.03238040630275</v>
      </c>
      <c r="E22">
        <v>1231</v>
      </c>
      <c r="F22">
        <v>1463</v>
      </c>
      <c r="G22">
        <v>46.536655569076537</v>
      </c>
      <c r="H22">
        <v>5.1004126978293867</v>
      </c>
      <c r="I22">
        <v>39.030210494995117</v>
      </c>
      <c r="J22">
        <v>51.42918586730957</v>
      </c>
      <c r="K22">
        <v>99.664793468652263</v>
      </c>
      <c r="L22">
        <v>0.1998297017696288</v>
      </c>
      <c r="M22">
        <v>99.460192480781245</v>
      </c>
      <c r="N22">
        <v>99.943389900917552</v>
      </c>
      <c r="O22">
        <v>98475.4</v>
      </c>
      <c r="P22">
        <v>742.62561227040715</v>
      </c>
      <c r="Q22">
        <v>97739</v>
      </c>
      <c r="R22">
        <v>99396</v>
      </c>
      <c r="S22">
        <v>0.98475482263830982</v>
      </c>
      <c r="T22">
        <v>7.4260217297375522E-3</v>
      </c>
      <c r="U22">
        <v>0.97739105268554394</v>
      </c>
      <c r="V22">
        <v>0.993960483161347</v>
      </c>
    </row>
    <row r="23" spans="1:22" x14ac:dyDescent="0.2">
      <c r="A23" s="20"/>
      <c r="B23" s="1" t="s">
        <v>10</v>
      </c>
      <c r="C23">
        <v>1250</v>
      </c>
      <c r="E23">
        <v>1250</v>
      </c>
      <c r="F23">
        <v>1250</v>
      </c>
      <c r="G23">
        <v>9.8094737529754639</v>
      </c>
      <c r="I23">
        <v>9.8094737529754639</v>
      </c>
      <c r="J23">
        <v>9.8094737529754639</v>
      </c>
      <c r="K23">
        <v>99.790140317807797</v>
      </c>
      <c r="M23">
        <v>99.790140317807797</v>
      </c>
      <c r="N23">
        <v>99.790140317807797</v>
      </c>
    </row>
    <row r="24" spans="1:22" x14ac:dyDescent="0.2">
      <c r="A24" s="20"/>
      <c r="B24" s="1" t="s">
        <v>11</v>
      </c>
      <c r="C24">
        <v>1265</v>
      </c>
      <c r="D24">
        <v>2.8284271247461898</v>
      </c>
      <c r="E24">
        <v>1263</v>
      </c>
      <c r="F24">
        <v>1267</v>
      </c>
      <c r="G24">
        <v>54.135406494140618</v>
      </c>
      <c r="H24">
        <v>0.74503961919592832</v>
      </c>
      <c r="I24">
        <v>53.608583927154541</v>
      </c>
      <c r="J24">
        <v>54.662229061126709</v>
      </c>
      <c r="K24">
        <v>99.790140317807811</v>
      </c>
      <c r="L24">
        <v>1.4210854715202001E-14</v>
      </c>
      <c r="M24">
        <v>99.790140317807797</v>
      </c>
      <c r="N24">
        <v>99.790140317807811</v>
      </c>
      <c r="O24">
        <v>48818</v>
      </c>
      <c r="P24">
        <v>67832.753519225502</v>
      </c>
      <c r="Q24">
        <v>853</v>
      </c>
      <c r="R24">
        <v>96783</v>
      </c>
      <c r="S24">
        <v>0.48817962497717571</v>
      </c>
      <c r="T24">
        <v>0.67832795623611997</v>
      </c>
      <c r="U24">
        <v>8.5293272542036804E-3</v>
      </c>
      <c r="V24">
        <v>0.96782992270014778</v>
      </c>
    </row>
    <row r="25" spans="1:22" x14ac:dyDescent="0.2">
      <c r="A25" s="20"/>
      <c r="B25" s="1" t="s">
        <v>12</v>
      </c>
      <c r="C25">
        <v>1369</v>
      </c>
      <c r="D25">
        <v>18.124568960391858</v>
      </c>
      <c r="E25">
        <v>1342</v>
      </c>
      <c r="F25">
        <v>1393</v>
      </c>
      <c r="G25">
        <v>75.366956233978271</v>
      </c>
      <c r="H25">
        <v>2.7862316097811921</v>
      </c>
      <c r="I25">
        <v>72.624467849731445</v>
      </c>
      <c r="J25">
        <v>79.942618608474731</v>
      </c>
      <c r="K25">
        <v>99.793456460635355</v>
      </c>
      <c r="L25">
        <v>0.1449118049377007</v>
      </c>
      <c r="M25">
        <v>99.556831964808509</v>
      </c>
      <c r="N25">
        <v>99.886779801835075</v>
      </c>
    </row>
    <row r="29" spans="1:22" x14ac:dyDescent="0.2">
      <c r="B29">
        <v>1</v>
      </c>
      <c r="C29">
        <f>(C10-C8)/C8*100</f>
        <v>13.682112605879418</v>
      </c>
    </row>
    <row r="30" spans="1:22" x14ac:dyDescent="0.2">
      <c r="B30">
        <v>2</v>
      </c>
      <c r="C30">
        <f>(C15-C13)/C13*100</f>
        <v>13.045084996304491</v>
      </c>
    </row>
    <row r="31" spans="1:22" x14ac:dyDescent="0.2">
      <c r="B31">
        <v>3</v>
      </c>
      <c r="C31">
        <f>(C20-C18)/C18*100</f>
        <v>11.408573928258976</v>
      </c>
    </row>
    <row r="32" spans="1:22" x14ac:dyDescent="0.2">
      <c r="B32">
        <v>4</v>
      </c>
      <c r="C32">
        <f>(C25-C23)/C23*100</f>
        <v>9.5200000000000014</v>
      </c>
    </row>
    <row r="33" spans="3:3" x14ac:dyDescent="0.2">
      <c r="C33">
        <f>AVERAGE(C29:C32)</f>
        <v>11.913942882610721</v>
      </c>
    </row>
  </sheetData>
  <mergeCells count="9">
    <mergeCell ref="A16:A20"/>
    <mergeCell ref="A21:A25"/>
    <mergeCell ref="G3:J3"/>
    <mergeCell ref="K3:N3"/>
    <mergeCell ref="O3:R3"/>
    <mergeCell ref="S3:V3"/>
    <mergeCell ref="C3:F3"/>
    <mergeCell ref="A6:A10"/>
    <mergeCell ref="A11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Test4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Reuben Kappely</dc:creator>
  <cp:lastModifiedBy>Reuben Kappely</cp:lastModifiedBy>
  <dcterms:created xsi:type="dcterms:W3CDTF">2025-11-05T00:28:41Z</dcterms:created>
  <dcterms:modified xsi:type="dcterms:W3CDTF">2025-11-06T07:47:56Z</dcterms:modified>
</cp:coreProperties>
</file>